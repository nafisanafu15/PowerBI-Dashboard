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thon codes\PowerBI-Dashboard-master\backend\data\"/>
    </mc:Choice>
  </mc:AlternateContent>
  <xr:revisionPtr revIDLastSave="0" documentId="13_ncr:1_{C699D34C-9248-4D98-B714-EC24DC56CA0B}" xr6:coauthVersionLast="47" xr6:coauthVersionMax="47" xr10:uidLastSave="{00000000-0000-0000-0000-000000000000}"/>
  <bookViews>
    <workbookView xWindow="-98" yWindow="-98" windowWidth="22276" windowHeight="13276" xr2:uid="{00000000-000D-0000-FFFF-FFFF00000000}"/>
  </bookViews>
  <sheets>
    <sheet name="ReportData" sheetId="1" r:id="rId1"/>
  </sheets>
  <definedNames>
    <definedName name="_xlnm._FilterDatabase" localSheetId="0" hidden="1">ReportData!$A$1:$AC$738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01" i="1" l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" i="1"/>
  <c r="U97" i="1"/>
  <c r="U98" i="1"/>
  <c r="U99" i="1"/>
  <c r="U100" i="1"/>
  <c r="U101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71" i="1"/>
  <c r="U72" i="1"/>
  <c r="U73" i="1"/>
  <c r="U74" i="1"/>
  <c r="U75" i="1"/>
  <c r="U76" i="1"/>
  <c r="U77" i="1"/>
  <c r="U78" i="1"/>
  <c r="U79" i="1"/>
  <c r="U80" i="1"/>
  <c r="U81" i="1"/>
  <c r="U82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2" i="1"/>
  <c r="AB97" i="1"/>
  <c r="AB98" i="1"/>
  <c r="AB99" i="1"/>
  <c r="AB100" i="1"/>
  <c r="AB101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73" i="1"/>
  <c r="AB74" i="1"/>
  <c r="AB75" i="1"/>
  <c r="AB76" i="1"/>
  <c r="AB77" i="1"/>
  <c r="AB78" i="1"/>
  <c r="AB79" i="1"/>
  <c r="AB80" i="1"/>
  <c r="AB81" i="1"/>
  <c r="AB82" i="1"/>
  <c r="AB83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38" i="1"/>
  <c r="AB39" i="1"/>
  <c r="AB40" i="1"/>
  <c r="AB41" i="1"/>
  <c r="AB42" i="1"/>
  <c r="AB43" i="1"/>
  <c r="AB44" i="1"/>
  <c r="AB45" i="1"/>
  <c r="AB46" i="1"/>
  <c r="AB47" i="1"/>
  <c r="AB48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15" i="1"/>
  <c r="AB16" i="1"/>
  <c r="AB17" i="1"/>
  <c r="AB18" i="1"/>
  <c r="AB19" i="1"/>
  <c r="AB20" i="1"/>
  <c r="AB3" i="1"/>
  <c r="AB4" i="1"/>
  <c r="AB5" i="1"/>
  <c r="AB6" i="1"/>
  <c r="AB7" i="1"/>
  <c r="AB8" i="1"/>
  <c r="AB9" i="1"/>
  <c r="AB10" i="1"/>
  <c r="AB11" i="1"/>
  <c r="AB12" i="1"/>
  <c r="AB13" i="1"/>
  <c r="AB14" i="1"/>
  <c r="AB2" i="1"/>
  <c r="K62" i="1" a="1"/>
  <c r="K62" i="1" s="1"/>
  <c r="K63" i="1" a="1"/>
  <c r="K63" i="1" s="1"/>
  <c r="K64" i="1" a="1"/>
  <c r="K64" i="1" s="1"/>
  <c r="K65" i="1" a="1"/>
  <c r="K65" i="1" s="1"/>
  <c r="K66" i="1" a="1"/>
  <c r="K66" i="1" s="1"/>
  <c r="K67" i="1" a="1"/>
  <c r="K67" i="1" s="1"/>
  <c r="K68" i="1" a="1"/>
  <c r="K68" i="1" s="1"/>
  <c r="K69" i="1" a="1"/>
  <c r="K69" i="1" s="1"/>
  <c r="K70" i="1" a="1"/>
  <c r="K70" i="1" s="1"/>
  <c r="K71" i="1" a="1"/>
  <c r="K71" i="1" s="1"/>
  <c r="K72" i="1" a="1"/>
  <c r="K72" i="1" s="1"/>
  <c r="K73" i="1" a="1"/>
  <c r="K73" i="1" s="1"/>
  <c r="K74" i="1" a="1"/>
  <c r="K74" i="1" s="1"/>
  <c r="K75" i="1" a="1"/>
  <c r="K75" i="1" s="1"/>
  <c r="K76" i="1" a="1"/>
  <c r="K76" i="1" s="1"/>
  <c r="K77" i="1" a="1"/>
  <c r="K77" i="1" s="1"/>
  <c r="K78" i="1" a="1"/>
  <c r="K78" i="1" s="1"/>
  <c r="K79" i="1" a="1"/>
  <c r="K79" i="1" s="1"/>
  <c r="K80" i="1" a="1"/>
  <c r="K80" i="1" s="1"/>
  <c r="K81" i="1" a="1"/>
  <c r="K81" i="1" s="1"/>
  <c r="K82" i="1" a="1"/>
  <c r="K82" i="1" s="1"/>
  <c r="K83" i="1" a="1"/>
  <c r="K83" i="1" s="1"/>
  <c r="K84" i="1" a="1"/>
  <c r="K84" i="1" s="1"/>
  <c r="K85" i="1" a="1"/>
  <c r="K85" i="1" s="1"/>
  <c r="K86" i="1" a="1"/>
  <c r="K86" i="1" s="1"/>
  <c r="K87" i="1" a="1"/>
  <c r="K87" i="1" s="1"/>
  <c r="K88" i="1" a="1"/>
  <c r="K88" i="1" s="1"/>
  <c r="K89" i="1" a="1"/>
  <c r="K89" i="1" s="1"/>
  <c r="K90" i="1" a="1"/>
  <c r="K90" i="1" s="1"/>
  <c r="K91" i="1" a="1"/>
  <c r="K91" i="1" s="1"/>
  <c r="K92" i="1" a="1"/>
  <c r="K92" i="1" s="1"/>
  <c r="K93" i="1" a="1"/>
  <c r="K93" i="1" s="1"/>
  <c r="K94" i="1" a="1"/>
  <c r="K94" i="1" s="1"/>
  <c r="K95" i="1" a="1"/>
  <c r="K95" i="1" s="1"/>
  <c r="K96" i="1" a="1"/>
  <c r="K96" i="1" s="1"/>
  <c r="K97" i="1" a="1"/>
  <c r="K97" i="1" s="1"/>
  <c r="K98" i="1" a="1"/>
  <c r="K98" i="1" s="1"/>
  <c r="K99" i="1" a="1"/>
  <c r="K99" i="1" s="1"/>
  <c r="K100" i="1" a="1"/>
  <c r="K100" i="1" s="1"/>
  <c r="K101" i="1" a="1"/>
  <c r="K101" i="1" s="1"/>
  <c r="K49" i="1" a="1"/>
  <c r="K49" i="1" s="1"/>
  <c r="K50" i="1" a="1"/>
  <c r="K50" i="1" s="1"/>
  <c r="K51" i="1" a="1"/>
  <c r="K51" i="1" s="1"/>
  <c r="K52" i="1" a="1"/>
  <c r="K52" i="1" s="1"/>
  <c r="K53" i="1" a="1"/>
  <c r="K53" i="1" s="1"/>
  <c r="K54" i="1" a="1"/>
  <c r="K54" i="1" s="1"/>
  <c r="K55" i="1" a="1"/>
  <c r="K55" i="1" s="1"/>
  <c r="K56" i="1" a="1"/>
  <c r="K56" i="1" s="1"/>
  <c r="K57" i="1" a="1"/>
  <c r="K57" i="1" s="1"/>
  <c r="K58" i="1" a="1"/>
  <c r="K58" i="1" s="1"/>
  <c r="K59" i="1" a="1"/>
  <c r="K59" i="1" s="1"/>
  <c r="K60" i="1" a="1"/>
  <c r="K60" i="1" s="1"/>
  <c r="K61" i="1" a="1"/>
  <c r="K61" i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0" i="1" a="1"/>
  <c r="K40" i="1" s="1"/>
  <c r="K41" i="1" a="1"/>
  <c r="K41" i="1" s="1"/>
  <c r="K42" i="1" a="1"/>
  <c r="K42" i="1" s="1"/>
  <c r="K43" i="1" a="1"/>
  <c r="K43" i="1" s="1"/>
  <c r="K44" i="1" a="1"/>
  <c r="K44" i="1" s="1"/>
  <c r="K45" i="1" a="1"/>
  <c r="K45" i="1" s="1"/>
  <c r="K46" i="1" a="1"/>
  <c r="K46" i="1" s="1"/>
  <c r="K47" i="1" a="1"/>
  <c r="K47" i="1" s="1"/>
  <c r="K48" i="1" a="1"/>
  <c r="K48" i="1" s="1"/>
  <c r="K13" i="1" a="1"/>
  <c r="K13" i="1" s="1"/>
  <c r="K14" i="1" a="1"/>
  <c r="K14" i="1" s="1"/>
  <c r="K15" i="1" a="1"/>
  <c r="K15" i="1"/>
  <c r="K16" i="1" a="1"/>
  <c r="K16" i="1"/>
  <c r="K17" i="1" a="1"/>
  <c r="K17" i="1" s="1"/>
  <c r="K18" i="1" a="1"/>
  <c r="K18" i="1" s="1"/>
  <c r="K19" i="1" a="1"/>
  <c r="K19" i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" i="1" a="1"/>
  <c r="K3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2" i="1" a="1"/>
  <c r="K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<sst xmlns="http://schemas.openxmlformats.org/spreadsheetml/2006/main" count="1729" uniqueCount="429">
  <si>
    <t>Campus_Name</t>
  </si>
  <si>
    <t>Nickname</t>
  </si>
  <si>
    <t>Nationality</t>
  </si>
  <si>
    <t>Status</t>
  </si>
  <si>
    <t>Student Visa</t>
  </si>
  <si>
    <t>HigherEd</t>
  </si>
  <si>
    <t>Sarthak Goel</t>
  </si>
  <si>
    <t>No</t>
  </si>
  <si>
    <t>Indian</t>
  </si>
  <si>
    <t>Offered</t>
  </si>
  <si>
    <t>Vietnamese</t>
  </si>
  <si>
    <t>HR Intern</t>
  </si>
  <si>
    <t>On-Campus (International)</t>
  </si>
  <si>
    <t>Anusha Priyalini</t>
  </si>
  <si>
    <t>Pankaj Goel</t>
  </si>
  <si>
    <t>Ryan</t>
  </si>
  <si>
    <t>Chinese</t>
  </si>
  <si>
    <t>Yes</t>
  </si>
  <si>
    <t>Sachin Kalidas Mallar</t>
  </si>
  <si>
    <t>Nepalese</t>
  </si>
  <si>
    <t>Pakistani</t>
  </si>
  <si>
    <t>Muskaan Verma</t>
  </si>
  <si>
    <t>Michael</t>
  </si>
  <si>
    <t>Bridging Visa</t>
  </si>
  <si>
    <t>Withdrawn</t>
  </si>
  <si>
    <t>Lydia</t>
  </si>
  <si>
    <t>Nuttanicha Tepmanee</t>
  </si>
  <si>
    <t>Michelle</t>
  </si>
  <si>
    <t>Sweta Jain Sud</t>
  </si>
  <si>
    <t>Online</t>
  </si>
  <si>
    <t>Enrolled</t>
  </si>
  <si>
    <t>Richard</t>
  </si>
  <si>
    <t>Garry</t>
  </si>
  <si>
    <t>Kellan</t>
  </si>
  <si>
    <t>Walker</t>
  </si>
  <si>
    <t>Tara</t>
  </si>
  <si>
    <t>Hamilton</t>
  </si>
  <si>
    <t>Hunt</t>
  </si>
  <si>
    <t>Richardson</t>
  </si>
  <si>
    <t>Bennett</t>
  </si>
  <si>
    <t>Justin</t>
  </si>
  <si>
    <t>Reed</t>
  </si>
  <si>
    <t>Spencer</t>
  </si>
  <si>
    <t>Gibson</t>
  </si>
  <si>
    <t>Brooks</t>
  </si>
  <si>
    <t>Adelaide</t>
  </si>
  <si>
    <t>Brown</t>
  </si>
  <si>
    <t>Melissa</t>
  </si>
  <si>
    <t>Alissa</t>
  </si>
  <si>
    <t>Turner</t>
  </si>
  <si>
    <t>Vincent</t>
  </si>
  <si>
    <t>Campbell</t>
  </si>
  <si>
    <t>Lyndon</t>
  </si>
  <si>
    <t>Aldus</t>
  </si>
  <si>
    <t>Morrison</t>
  </si>
  <si>
    <t>Julian</t>
  </si>
  <si>
    <t>Hawkins</t>
  </si>
  <si>
    <t>Mason</t>
  </si>
  <si>
    <t>Annabella</t>
  </si>
  <si>
    <t>Murray</t>
  </si>
  <si>
    <t>Rebecca</t>
  </si>
  <si>
    <t>Ashton</t>
  </si>
  <si>
    <t>Adams</t>
  </si>
  <si>
    <t>Thomas</t>
  </si>
  <si>
    <t>John</t>
  </si>
  <si>
    <t>Stevens</t>
  </si>
  <si>
    <t>Ross</t>
  </si>
  <si>
    <t>Edith</t>
  </si>
  <si>
    <t>William</t>
  </si>
  <si>
    <t>Hill</t>
  </si>
  <si>
    <t>Rosie</t>
  </si>
  <si>
    <t>Johnson</t>
  </si>
  <si>
    <t>Marcus</t>
  </si>
  <si>
    <t>Edwards</t>
  </si>
  <si>
    <t>Harper</t>
  </si>
  <si>
    <t>Edward</t>
  </si>
  <si>
    <t>Wells</t>
  </si>
  <si>
    <t>Myers</t>
  </si>
  <si>
    <t>Roman</t>
  </si>
  <si>
    <t>Tucker</t>
  </si>
  <si>
    <t>Higgins</t>
  </si>
  <si>
    <t>Morris</t>
  </si>
  <si>
    <t>Tony</t>
  </si>
  <si>
    <t>Byron</t>
  </si>
  <si>
    <t>Clark</t>
  </si>
  <si>
    <t>Howard</t>
  </si>
  <si>
    <t>Elliott</t>
  </si>
  <si>
    <t>Anderson</t>
  </si>
  <si>
    <t>Armstrong</t>
  </si>
  <si>
    <t>Carlos</t>
  </si>
  <si>
    <t>Victor</t>
  </si>
  <si>
    <t>Harris</t>
  </si>
  <si>
    <t>Honey</t>
  </si>
  <si>
    <t>Davis</t>
  </si>
  <si>
    <t>Dominik</t>
  </si>
  <si>
    <t>Stewart</t>
  </si>
  <si>
    <t>Nelson</t>
  </si>
  <si>
    <t>Alexander</t>
  </si>
  <si>
    <t>Jones</t>
  </si>
  <si>
    <t>Robinson</t>
  </si>
  <si>
    <t>Johnston</t>
  </si>
  <si>
    <t>Ted</t>
  </si>
  <si>
    <t>Kelvin</t>
  </si>
  <si>
    <t>Warren</t>
  </si>
  <si>
    <t>Parker</t>
  </si>
  <si>
    <t>Vivian</t>
  </si>
  <si>
    <t>Perkins</t>
  </si>
  <si>
    <t>Jessica</t>
  </si>
  <si>
    <t>Perry</t>
  </si>
  <si>
    <t>Haris</t>
  </si>
  <si>
    <t>Tiana</t>
  </si>
  <si>
    <t>Adison</t>
  </si>
  <si>
    <t>Barrett</t>
  </si>
  <si>
    <t>Paige</t>
  </si>
  <si>
    <t>Douglas</t>
  </si>
  <si>
    <t>Abigail</t>
  </si>
  <si>
    <t>Martin</t>
  </si>
  <si>
    <t>James</t>
  </si>
  <si>
    <t>Dixon</t>
  </si>
  <si>
    <t>Kelley</t>
  </si>
  <si>
    <t>Mitchell</t>
  </si>
  <si>
    <t>Eddy</t>
  </si>
  <si>
    <t>Derek</t>
  </si>
  <si>
    <t>Maya</t>
  </si>
  <si>
    <t>Wilson</t>
  </si>
  <si>
    <t>Frederick</t>
  </si>
  <si>
    <t>Cunningham</t>
  </si>
  <si>
    <t>Isabella</t>
  </si>
  <si>
    <t>Montgomery</t>
  </si>
  <si>
    <t>Adele</t>
  </si>
  <si>
    <t>Henderson</t>
  </si>
  <si>
    <t>Sarah</t>
  </si>
  <si>
    <t>Andrews</t>
  </si>
  <si>
    <t>Rafael</t>
  </si>
  <si>
    <t>Thompson</t>
  </si>
  <si>
    <t>Arthur</t>
  </si>
  <si>
    <t>Myra</t>
  </si>
  <si>
    <t>Sawyer</t>
  </si>
  <si>
    <t>West</t>
  </si>
  <si>
    <t>Nicole</t>
  </si>
  <si>
    <t>Charlotte</t>
  </si>
  <si>
    <t>Crawford</t>
  </si>
  <si>
    <t>Chelsea</t>
  </si>
  <si>
    <t>Taylor</t>
  </si>
  <si>
    <t>Dainton</t>
  </si>
  <si>
    <t>Adrian</t>
  </si>
  <si>
    <t>Jared</t>
  </si>
  <si>
    <t>Grant</t>
  </si>
  <si>
    <t>Stella</t>
  </si>
  <si>
    <t>Gianna</t>
  </si>
  <si>
    <t>Mike</t>
  </si>
  <si>
    <t>Henry</t>
  </si>
  <si>
    <t>Evelyn</t>
  </si>
  <si>
    <t>Oscar</t>
  </si>
  <si>
    <t>Holmes</t>
  </si>
  <si>
    <t>Darcy</t>
  </si>
  <si>
    <t>Watson</t>
  </si>
  <si>
    <t>Camila</t>
  </si>
  <si>
    <t>Tess</t>
  </si>
  <si>
    <t>Amber</t>
  </si>
  <si>
    <t>David</t>
  </si>
  <si>
    <t>Cherry</t>
  </si>
  <si>
    <t>Bailey</t>
  </si>
  <si>
    <t>Owens</t>
  </si>
  <si>
    <t>Julia</t>
  </si>
  <si>
    <t>Victoria</t>
  </si>
  <si>
    <t>Belinda</t>
  </si>
  <si>
    <t>Lloyd</t>
  </si>
  <si>
    <t>Harrison</t>
  </si>
  <si>
    <t>Alexia</t>
  </si>
  <si>
    <t>Miley</t>
  </si>
  <si>
    <t>Kevin</t>
  </si>
  <si>
    <t>Penelope</t>
  </si>
  <si>
    <t>Oliver</t>
  </si>
  <si>
    <t>Lana</t>
  </si>
  <si>
    <t>Kirsten</t>
  </si>
  <si>
    <t>Age</t>
  </si>
  <si>
    <t>S1669</t>
  </si>
  <si>
    <t>Sydney Campus</t>
  </si>
  <si>
    <t>Nigerian</t>
  </si>
  <si>
    <t>Bachelor of Business</t>
  </si>
  <si>
    <t>Global Pathways</t>
  </si>
  <si>
    <t>COE20000</t>
  </si>
  <si>
    <t>Hybrid</t>
  </si>
  <si>
    <t>S1033</t>
  </si>
  <si>
    <t>Bachelor of IT</t>
  </si>
  <si>
    <t>NextGen Education</t>
  </si>
  <si>
    <t>COE20001</t>
  </si>
  <si>
    <t>S1549</t>
  </si>
  <si>
    <t>Melbourne City Campus</t>
  </si>
  <si>
    <t>S1199</t>
  </si>
  <si>
    <t>PR</t>
  </si>
  <si>
    <t>Bachelor of Nursing</t>
  </si>
  <si>
    <t>Aussie Learn Hub</t>
  </si>
  <si>
    <t>S1264</t>
  </si>
  <si>
    <t>COE20002</t>
  </si>
  <si>
    <t>S1583</t>
  </si>
  <si>
    <t>Brazilian</t>
  </si>
  <si>
    <t>Bright Future Consultants</t>
  </si>
  <si>
    <t>S1039</t>
  </si>
  <si>
    <t>Bachelor of Engineering</t>
  </si>
  <si>
    <t>S1554</t>
  </si>
  <si>
    <t>Temporary Visa</t>
  </si>
  <si>
    <t>COE20003</t>
  </si>
  <si>
    <t>S1585</t>
  </si>
  <si>
    <t>S1609</t>
  </si>
  <si>
    <t>Skyline Overseas</t>
  </si>
  <si>
    <t>S1324</t>
  </si>
  <si>
    <t>Dr. Sarah Lee</t>
  </si>
  <si>
    <t>COE20004</t>
  </si>
  <si>
    <t>S1390</t>
  </si>
  <si>
    <t>Prof. Mark Johnson</t>
  </si>
  <si>
    <t>COE20005</t>
  </si>
  <si>
    <t>S1485</t>
  </si>
  <si>
    <t>COE20006</t>
  </si>
  <si>
    <t>S1703</t>
  </si>
  <si>
    <t>Brisbane Campus</t>
  </si>
  <si>
    <t>S1066</t>
  </si>
  <si>
    <t>S1078</t>
  </si>
  <si>
    <t>COE20007</t>
  </si>
  <si>
    <t>S1072</t>
  </si>
  <si>
    <t>COE20008</t>
  </si>
  <si>
    <t>S1192</t>
  </si>
  <si>
    <t>COE20009</t>
  </si>
  <si>
    <t>S1398</t>
  </si>
  <si>
    <t>COE20010</t>
  </si>
  <si>
    <t>S1666</t>
  </si>
  <si>
    <t>S1211</t>
  </si>
  <si>
    <t>COE20011</t>
  </si>
  <si>
    <t>S1469</t>
  </si>
  <si>
    <t>COE20012</t>
  </si>
  <si>
    <t>S1375</t>
  </si>
  <si>
    <t>COE20013</t>
  </si>
  <si>
    <t>S1065</t>
  </si>
  <si>
    <t>S1054</t>
  </si>
  <si>
    <t>Dr. Emily Chen</t>
  </si>
  <si>
    <t>COE20014</t>
  </si>
  <si>
    <t>S1611</t>
  </si>
  <si>
    <t>S1081</t>
  </si>
  <si>
    <t>S1436</t>
  </si>
  <si>
    <t>Tourist Visa</t>
  </si>
  <si>
    <t>S1680</t>
  </si>
  <si>
    <t>S1723</t>
  </si>
  <si>
    <t>COE20015</t>
  </si>
  <si>
    <t>S1266</t>
  </si>
  <si>
    <t>COE20016</t>
  </si>
  <si>
    <t>S1311</t>
  </si>
  <si>
    <t>S1198</t>
  </si>
  <si>
    <t>S1355</t>
  </si>
  <si>
    <t>Mr. John Smith</t>
  </si>
  <si>
    <t>COE20017</t>
  </si>
  <si>
    <t>Career Development</t>
  </si>
  <si>
    <t>S1470</t>
  </si>
  <si>
    <t>COE20018</t>
  </si>
  <si>
    <t>S1453</t>
  </si>
  <si>
    <t>COE20019</t>
  </si>
  <si>
    <t>S1417</t>
  </si>
  <si>
    <t>COE20020</t>
  </si>
  <si>
    <t>S1380</t>
  </si>
  <si>
    <t>S1587</t>
  </si>
  <si>
    <t>S1010</t>
  </si>
  <si>
    <t>COE20021</t>
  </si>
  <si>
    <t>S1109</t>
  </si>
  <si>
    <t>S1306</t>
  </si>
  <si>
    <t>S1148</t>
  </si>
  <si>
    <t>COE20022</t>
  </si>
  <si>
    <t>S1212</t>
  </si>
  <si>
    <t>COE20023</t>
  </si>
  <si>
    <t>S1294</t>
  </si>
  <si>
    <t>S1527</t>
  </si>
  <si>
    <t>COE20024</t>
  </si>
  <si>
    <t>S1448</t>
  </si>
  <si>
    <t>COE20025</t>
  </si>
  <si>
    <t>S1396</t>
  </si>
  <si>
    <t>COE20026</t>
  </si>
  <si>
    <t>S1517</t>
  </si>
  <si>
    <t>S1717</t>
  </si>
  <si>
    <t>COE20027</t>
  </si>
  <si>
    <t>S1409</t>
  </si>
  <si>
    <t>COE20028</t>
  </si>
  <si>
    <t>S1332</t>
  </si>
  <si>
    <t>S1361</t>
  </si>
  <si>
    <t>COE20029</t>
  </si>
  <si>
    <t>S1215</t>
  </si>
  <si>
    <t>COE20030</t>
  </si>
  <si>
    <t>S1420</t>
  </si>
  <si>
    <t>COE20031</t>
  </si>
  <si>
    <t>S1247</t>
  </si>
  <si>
    <t>COE20032</t>
  </si>
  <si>
    <t>S1655</t>
  </si>
  <si>
    <t>COE20033</t>
  </si>
  <si>
    <t>S1360</t>
  </si>
  <si>
    <t>COE20034</t>
  </si>
  <si>
    <t>S1468</t>
  </si>
  <si>
    <t>COE20035</t>
  </si>
  <si>
    <t>S1334</t>
  </si>
  <si>
    <t>S1570</t>
  </si>
  <si>
    <t>Permanent Resident</t>
  </si>
  <si>
    <t>S1704</t>
  </si>
  <si>
    <t>S1097</t>
  </si>
  <si>
    <t>COE20036</t>
  </si>
  <si>
    <t>S1174</t>
  </si>
  <si>
    <t>S1411</t>
  </si>
  <si>
    <t>COE20037</t>
  </si>
  <si>
    <t>S1619</t>
  </si>
  <si>
    <t>COE20038</t>
  </si>
  <si>
    <t>S1449</t>
  </si>
  <si>
    <t>COE20039</t>
  </si>
  <si>
    <t>S1248</t>
  </si>
  <si>
    <t>COE20040</t>
  </si>
  <si>
    <t>S1063</t>
  </si>
  <si>
    <t>S1629</t>
  </si>
  <si>
    <t>COE20041</t>
  </si>
  <si>
    <t>S1077</t>
  </si>
  <si>
    <t>COE20042</t>
  </si>
  <si>
    <t>S1049</t>
  </si>
  <si>
    <t>S1342</t>
  </si>
  <si>
    <t>COE20043</t>
  </si>
  <si>
    <t>S1118</t>
  </si>
  <si>
    <t>COE20044</t>
  </si>
  <si>
    <t>S1331</t>
  </si>
  <si>
    <t>COE20045</t>
  </si>
  <si>
    <t>S1101</t>
  </si>
  <si>
    <t>COE20046</t>
  </si>
  <si>
    <t>S1694</t>
  </si>
  <si>
    <t>COE20047</t>
  </si>
  <si>
    <t>S1234</t>
  </si>
  <si>
    <t>COE20048</t>
  </si>
  <si>
    <t>S1023</t>
  </si>
  <si>
    <t>S1408</t>
  </si>
  <si>
    <t>S1732</t>
  </si>
  <si>
    <t>S1086</t>
  </si>
  <si>
    <t>COE20049</t>
  </si>
  <si>
    <t>S1158</t>
  </si>
  <si>
    <t>S1210</t>
  </si>
  <si>
    <t>COE20050</t>
  </si>
  <si>
    <t>S1631</t>
  </si>
  <si>
    <t>S1439</t>
  </si>
  <si>
    <t>COE20051</t>
  </si>
  <si>
    <t>S1659</t>
  </si>
  <si>
    <t>COE20052</t>
  </si>
  <si>
    <t>S1356</t>
  </si>
  <si>
    <t>COE20053</t>
  </si>
  <si>
    <t>S1346</t>
  </si>
  <si>
    <t>Skill Upgrade</t>
  </si>
  <si>
    <t>S1593</t>
  </si>
  <si>
    <t>COE20054</t>
  </si>
  <si>
    <t>S1030</t>
  </si>
  <si>
    <t>COE20055</t>
  </si>
  <si>
    <t>S1610</t>
  </si>
  <si>
    <t>COE20056</t>
  </si>
  <si>
    <t>S1683</t>
  </si>
  <si>
    <t>COE20057</t>
  </si>
  <si>
    <t>S1430</t>
  </si>
  <si>
    <t>S1733</t>
  </si>
  <si>
    <t>S1404</t>
  </si>
  <si>
    <t>S1428</t>
  </si>
  <si>
    <t>COE20058</t>
  </si>
  <si>
    <t>S1424</t>
  </si>
  <si>
    <t>COE20059</t>
  </si>
  <si>
    <t>S1235</t>
  </si>
  <si>
    <t>COE20060</t>
  </si>
  <si>
    <t>S1478</t>
  </si>
  <si>
    <t xml:space="preserve">Enrolled </t>
  </si>
  <si>
    <t>Student_Id</t>
  </si>
  <si>
    <t>First_Name</t>
  </si>
  <si>
    <t>Last_Name</t>
  </si>
  <si>
    <t>Date_Of_Birth</t>
  </si>
  <si>
    <t>Visa_Status</t>
  </si>
  <si>
    <t>Course_Type</t>
  </si>
  <si>
    <t>Course_Id</t>
  </si>
  <si>
    <t>Course_Name</t>
  </si>
  <si>
    <t>Enrolment_Fees</t>
  </si>
  <si>
    <t>Paid_Fees</t>
  </si>
  <si>
    <t>Course_Attempt</t>
  </si>
  <si>
    <t>Offer_Id</t>
  </si>
  <si>
    <t>Agent_Name</t>
  </si>
  <si>
    <t>Course_Manager</t>
  </si>
  <si>
    <t>CoE_No</t>
  </si>
  <si>
    <t>Start_Date</t>
  </si>
  <si>
    <t>Finish_Date</t>
  </si>
  <si>
    <t>COE20061</t>
  </si>
  <si>
    <t>COE20062</t>
  </si>
  <si>
    <t>COE20063</t>
  </si>
  <si>
    <t>COE20064</t>
  </si>
  <si>
    <t>COE20065</t>
  </si>
  <si>
    <t>COE20066</t>
  </si>
  <si>
    <t>COE20067</t>
  </si>
  <si>
    <t>COE20068</t>
  </si>
  <si>
    <t>COE20069</t>
  </si>
  <si>
    <t>COE20070</t>
  </si>
  <si>
    <t>COE20071</t>
  </si>
  <si>
    <t>COE20072</t>
  </si>
  <si>
    <t>COE20073</t>
  </si>
  <si>
    <t>COE20074</t>
  </si>
  <si>
    <t>COE20075</t>
  </si>
  <si>
    <t>COE20076</t>
  </si>
  <si>
    <t>COE20077</t>
  </si>
  <si>
    <t>COE20078</t>
  </si>
  <si>
    <t>COE20079</t>
  </si>
  <si>
    <t>COE20080</t>
  </si>
  <si>
    <t>COE20081</t>
  </si>
  <si>
    <t>COE20082</t>
  </si>
  <si>
    <t>COE20083</t>
  </si>
  <si>
    <t>COE20084</t>
  </si>
  <si>
    <t>COE20085</t>
  </si>
  <si>
    <t>COE20086</t>
  </si>
  <si>
    <t>COE20087</t>
  </si>
  <si>
    <t>COE20088</t>
  </si>
  <si>
    <t>COE20089</t>
  </si>
  <si>
    <t>COE20090</t>
  </si>
  <si>
    <t>COE20091</t>
  </si>
  <si>
    <t>COE20092</t>
  </si>
  <si>
    <t>COE20093</t>
  </si>
  <si>
    <t>COE20094</t>
  </si>
  <si>
    <t>COE20095</t>
  </si>
  <si>
    <t>COE20096</t>
  </si>
  <si>
    <t>COE20097</t>
  </si>
  <si>
    <t>COE20098</t>
  </si>
  <si>
    <t>COE20099</t>
  </si>
  <si>
    <t>Study_Reason</t>
  </si>
  <si>
    <t>Mode_of_Study</t>
  </si>
  <si>
    <t>Do_you_want_to_pay_more_than_50%_upfront_fee?</t>
  </si>
  <si>
    <t>Are_you_currently_or_planning_to_study_English_whilst_in_Australia?</t>
  </si>
  <si>
    <t>Offer_Expiry_Date</t>
  </si>
  <si>
    <t>Job Interest</t>
  </si>
  <si>
    <t>Offer_Year</t>
  </si>
  <si>
    <t>Diploma</t>
  </si>
  <si>
    <t>Trimester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</si>
</sst>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&quot;$&quot;#,##0.00"/>
  </numFmts>
  <fonts count="8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</font>
    <font>
      <b/>
      <sz val="11"/>
      <color theme="1"/>
      <name val="Aptos Narrow"/>
      <family val="2"/>
      <scheme val="minor"/>
    </font>
    <font>
      <sz val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164" fontId="5" fillId="0" borderId="0" applyFont="0" applyFill="0" applyBorder="0" applyAlignment="0" applyProtection="0"/>
    <xf numFmtId="0" fontId="1" fillId="0" borderId="0"/>
  </cellStyleXfs>
  <cellXfs count="14">
    <xf numFmtId="0" fontId="0" fillId="0" borderId="0" xfId="0"/>
    <xf numFmtId="1" fontId="0" fillId="0" borderId="0" xfId="0" applyNumberFormat="1"/>
    <xf numFmtId="0" fontId="2" fillId="0" borderId="0" xfId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14" fontId="0" fillId="0" borderId="0" xfId="0" applyNumberFormat="1"/>
    <xf numFmtId="14" fontId="4" fillId="0" borderId="0" xfId="0" applyNumberFormat="1" applyFont="1"/>
    <xf numFmtId="14" fontId="3" fillId="0" borderId="1" xfId="0" applyNumberFormat="1" applyFont="1" applyBorder="1" applyAlignment="1">
      <alignment horizontal="center" vertical="top"/>
    </xf>
    <xf numFmtId="165" fontId="6" fillId="0" borderId="1" xfId="2" applyNumberFormat="1" applyFont="1" applyBorder="1" applyAlignment="1">
      <alignment horizontal="center" vertical="top"/>
    </xf>
    <xf numFmtId="165" fontId="1" fillId="0" borderId="0" xfId="2" applyNumberFormat="1" applyFont="1"/>
    <xf numFmtId="165" fontId="0" fillId="0" borderId="0" xfId="2" applyNumberFormat="1" applyFont="1"/>
    <xf numFmtId="1" fontId="3" fillId="0" borderId="1" xfId="0" applyNumberFormat="1" applyFont="1" applyBorder="1" applyAlignment="1">
      <alignment horizontal="center" vertical="top"/>
    </xf>
    <xf numFmtId="1" fontId="4" fillId="0" borderId="0" xfId="0" applyNumberFormat="1" applyFont="1"/>
  </cellXfs>
  <cellStyles count="4">
    <cellStyle name="Currency" xfId="2" builtinId="4"/>
    <cellStyle name="Normal" xfId="0" builtinId="0"/>
    <cellStyle name="Normal 2" xfId="1" xr:uid="{4CC3ACC9-F05F-472A-9214-DE2F59929BAE}"/>
    <cellStyle name="Normal 3" xfId="3" xr:uid="{354B2B55-6186-4CC6-968E-435CF8F3C2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38"/>
  <sheetViews>
    <sheetView tabSelected="1" topLeftCell="U1" zoomScale="91" zoomScaleNormal="68" workbookViewId="0">
      <selection activeCell="AB1" sqref="AB1"/>
    </sheetView>
  </sheetViews>
  <sheetFormatPr defaultRowHeight="14.25" x14ac:dyDescent="0.45"/>
  <cols>
    <col min="1" max="1" width="14" customWidth="1"/>
    <col min="2" max="2" width="10.265625" customWidth="1"/>
    <col min="3" max="3" width="17.265625" customWidth="1"/>
    <col min="4" max="4" width="10.73046875" customWidth="1"/>
    <col min="5" max="5" width="15.06640625" style="6" customWidth="1"/>
    <col min="6" max="6" width="17.46484375" customWidth="1"/>
    <col min="7" max="7" width="11" customWidth="1"/>
    <col min="8" max="8" width="12.33203125" customWidth="1"/>
    <col min="9" max="9" width="32.796875" customWidth="1"/>
    <col min="10" max="10" width="14.19921875" style="1" customWidth="1"/>
    <col min="11" max="11" width="9.19921875" customWidth="1"/>
    <col min="12" max="12" width="27.33203125" customWidth="1"/>
    <col min="13" max="13" width="16.59765625" style="11" customWidth="1"/>
    <col min="14" max="14" width="13.53125" style="11" customWidth="1"/>
    <col min="15" max="15" width="15.59765625" customWidth="1"/>
    <col min="16" max="16" width="22.73046875" style="1" customWidth="1"/>
    <col min="17" max="17" width="17.265625" customWidth="1"/>
    <col min="18" max="18" width="19.796875" customWidth="1"/>
    <col min="19" max="19" width="22.19921875" customWidth="1"/>
    <col min="20" max="20" width="18.06640625" customWidth="1"/>
    <col min="21" max="21" width="45.73046875" style="6" customWidth="1"/>
    <col min="22" max="22" width="19.73046875" style="6" customWidth="1"/>
    <col min="23" max="23" width="17.59765625" customWidth="1"/>
    <col min="24" max="24" width="15.73046875" customWidth="1"/>
    <col min="25" max="25" width="19.265625" customWidth="1"/>
    <col min="26" max="26" width="16.73046875" customWidth="1"/>
    <col min="27" max="27" width="19.46484375" style="6" customWidth="1"/>
    <col min="28" max="28" width="22.73046875" customWidth="1"/>
    <col min="29" max="29" width="29.46484375" style="1" customWidth="1"/>
  </cols>
  <sheetData>
    <row r="1" spans="1:29" x14ac:dyDescent="0.45">
      <c r="A1" s="4" t="s">
        <v>364</v>
      </c>
      <c r="B1" s="4" t="s">
        <v>365</v>
      </c>
      <c r="C1" s="4" t="s">
        <v>366</v>
      </c>
      <c r="D1" s="4" t="s">
        <v>176</v>
      </c>
      <c r="E1" s="8" t="s">
        <v>367</v>
      </c>
      <c r="F1" s="4" t="s">
        <v>0</v>
      </c>
      <c r="G1" s="4" t="s">
        <v>1</v>
      </c>
      <c r="H1" s="4" t="s">
        <v>2</v>
      </c>
      <c r="I1" s="4" t="s">
        <v>368</v>
      </c>
      <c r="J1" s="4" t="s">
        <v>369</v>
      </c>
      <c r="K1" s="4" t="s">
        <v>370</v>
      </c>
      <c r="L1" s="4" t="s">
        <v>371</v>
      </c>
      <c r="M1" s="9" t="s">
        <v>372</v>
      </c>
      <c r="N1" s="9" t="s">
        <v>373</v>
      </c>
      <c r="O1" s="4" t="s">
        <v>374</v>
      </c>
      <c r="P1" s="12" t="s">
        <v>375</v>
      </c>
      <c r="Q1" s="4" t="s">
        <v>376</v>
      </c>
      <c r="R1" s="4" t="s">
        <v>3</v>
      </c>
      <c r="S1" s="4" t="s">
        <v>377</v>
      </c>
      <c r="T1" s="4" t="s">
        <v>378</v>
      </c>
      <c r="U1" s="8" t="s">
        <v>379</v>
      </c>
      <c r="V1" s="8" t="s">
        <v>380</v>
      </c>
      <c r="W1" s="4" t="s">
        <v>420</v>
      </c>
      <c r="X1" s="4" t="s">
        <v>421</v>
      </c>
      <c r="Y1" s="4" t="s">
        <v>422</v>
      </c>
      <c r="Z1" s="4" t="s">
        <v>423</v>
      </c>
      <c r="AA1" s="8" t="s">
        <v>424</v>
      </c>
      <c r="AB1" s="4" t="s">
        <v>428</v>
      </c>
      <c r="AC1" s="12" t="s">
        <v>426</v>
      </c>
    </row>
    <row r="2" spans="1:29" x14ac:dyDescent="0.45">
      <c r="A2" s="5" t="s">
        <v>177</v>
      </c>
      <c r="B2" s="5" t="s">
        <v>64</v>
      </c>
      <c r="C2" s="5" t="s">
        <v>65</v>
      </c>
      <c r="D2" s="5">
        <v>19</v>
      </c>
      <c r="E2" s="7">
        <v>38704</v>
      </c>
      <c r="F2" s="5" t="s">
        <v>178</v>
      </c>
      <c r="G2" s="5" t="s">
        <v>64</v>
      </c>
      <c r="H2" s="5" t="s">
        <v>179</v>
      </c>
      <c r="I2" s="5" t="s">
        <v>4</v>
      </c>
      <c r="J2" s="5" t="s">
        <v>5</v>
      </c>
      <c r="K2" s="5" t="str" cm="1">
        <f t="array" ref="K2">_xlfn.SWITCH(_xlfn.TEXTAFTER(L2," of "),
  "Business","BB",
  "IT","BT",
  "Nursing","BN",
  "Engineering","BE",
  "")</f>
        <v>BB</v>
      </c>
      <c r="L2" s="5" t="s">
        <v>180</v>
      </c>
      <c r="M2" s="10">
        <v>939.45</v>
      </c>
      <c r="N2" s="10">
        <v>759.88</v>
      </c>
      <c r="O2" s="5">
        <v>1</v>
      </c>
      <c r="P2" s="13">
        <v>172</v>
      </c>
      <c r="Q2" s="5" t="s">
        <v>181</v>
      </c>
      <c r="R2" s="5" t="s">
        <v>30</v>
      </c>
      <c r="S2" s="5" t="s">
        <v>18</v>
      </c>
      <c r="T2" s="5" t="s">
        <v>182</v>
      </c>
      <c r="U2" s="7">
        <f>EDATE(V2,-36)</f>
        <v>45477</v>
      </c>
      <c r="V2" s="7">
        <v>46572</v>
      </c>
      <c r="W2" s="5" t="s">
        <v>425</v>
      </c>
      <c r="X2" s="5" t="s">
        <v>183</v>
      </c>
      <c r="Y2" s="5" t="s">
        <v>7</v>
      </c>
      <c r="Z2" s="5" t="s">
        <v>17</v>
      </c>
      <c r="AA2" s="7">
        <v>45352</v>
      </c>
      <c r="AB2" s="5" t="str">
        <f>IF(MONTH(V2)=3,"T1", IF(MONTH(V2)=7,"T2",IF(MONTH(V2)=12,"T3")))</f>
        <v>T2</v>
      </c>
      <c r="AC2" s="13">
        <f>YEAR(U2)</f>
        <v>2024</v>
      </c>
    </row>
    <row r="3" spans="1:29" x14ac:dyDescent="0.45">
      <c r="A3" s="5" t="s">
        <v>184</v>
      </c>
      <c r="B3" s="5" t="s">
        <v>137</v>
      </c>
      <c r="C3" s="5" t="s">
        <v>56</v>
      </c>
      <c r="D3" s="5">
        <v>30</v>
      </c>
      <c r="E3" s="7">
        <v>34386</v>
      </c>
      <c r="F3" s="5" t="s">
        <v>178</v>
      </c>
      <c r="G3" s="5" t="s">
        <v>137</v>
      </c>
      <c r="H3" s="5" t="s">
        <v>19</v>
      </c>
      <c r="I3" s="5" t="s">
        <v>4</v>
      </c>
      <c r="J3" s="5" t="s">
        <v>5</v>
      </c>
      <c r="K3" s="5" t="str" cm="1">
        <f t="array" ref="K3">_xlfn.SWITCH(_xlfn.TEXTAFTER(L3," of "),
  "Business","BB",
  "IT","BT",
  "Nursing","BN",
  "Engineering","BE",
  "")</f>
        <v>BT</v>
      </c>
      <c r="L3" s="5" t="s">
        <v>185</v>
      </c>
      <c r="M3" s="10">
        <v>940.71</v>
      </c>
      <c r="N3" s="10">
        <v>672.48</v>
      </c>
      <c r="O3" s="5">
        <v>1</v>
      </c>
      <c r="P3" s="13">
        <v>508</v>
      </c>
      <c r="Q3" s="5" t="s">
        <v>186</v>
      </c>
      <c r="R3" s="5" t="s">
        <v>30</v>
      </c>
      <c r="S3" s="5" t="s">
        <v>18</v>
      </c>
      <c r="T3" s="5" t="s">
        <v>187</v>
      </c>
      <c r="U3" s="7">
        <f t="shared" ref="U3:U66" si="0">EDATE(V3,-36)</f>
        <v>45645</v>
      </c>
      <c r="V3" s="7">
        <v>46740</v>
      </c>
      <c r="W3" s="5" t="s">
        <v>425</v>
      </c>
      <c r="X3" s="5" t="s">
        <v>12</v>
      </c>
      <c r="Y3" s="5" t="s">
        <v>17</v>
      </c>
      <c r="Z3" s="5" t="s">
        <v>7</v>
      </c>
      <c r="AA3" s="7">
        <v>45328</v>
      </c>
      <c r="AB3" s="5" t="str">
        <f t="shared" ref="AB3:AB66" si="1">IF(MONTH(V3)=3,"T1", IF(MONTH(V3)=7,"T2",IF(MONTH(V3)=12,"T3")))</f>
        <v>T3</v>
      </c>
      <c r="AC3" s="13">
        <f t="shared" ref="AC3:AC66" si="2">YEAR(U3)</f>
        <v>2024</v>
      </c>
    </row>
    <row r="4" spans="1:29" x14ac:dyDescent="0.45">
      <c r="A4" s="5" t="s">
        <v>188</v>
      </c>
      <c r="B4" s="5" t="s">
        <v>175</v>
      </c>
      <c r="C4" s="5" t="s">
        <v>147</v>
      </c>
      <c r="D4" s="5">
        <v>29</v>
      </c>
      <c r="E4" s="7">
        <v>34795</v>
      </c>
      <c r="F4" s="5" t="s">
        <v>189</v>
      </c>
      <c r="G4" s="5" t="s">
        <v>175</v>
      </c>
      <c r="H4" s="5" t="s">
        <v>16</v>
      </c>
      <c r="I4" s="5" t="s">
        <v>4</v>
      </c>
      <c r="J4" s="5" t="s">
        <v>5</v>
      </c>
      <c r="K4" s="5" t="str" cm="1">
        <f t="array" ref="K4">_xlfn.SWITCH(_xlfn.TEXTAFTER(L4," of "),
  "Business","BB",
  "IT","BT",
  "Nursing","BN",
  "Engineering","BE",
  "")</f>
        <v>BB</v>
      </c>
      <c r="L4" s="5" t="s">
        <v>180</v>
      </c>
      <c r="M4" s="10">
        <v>951.64</v>
      </c>
      <c r="N4" s="10">
        <v>494.51</v>
      </c>
      <c r="O4" s="5">
        <v>1</v>
      </c>
      <c r="P4" s="13">
        <v>969</v>
      </c>
      <c r="Q4" s="5" t="s">
        <v>181</v>
      </c>
      <c r="R4" s="5" t="s">
        <v>30</v>
      </c>
      <c r="S4" s="5" t="s">
        <v>18</v>
      </c>
      <c r="T4" s="5" t="s">
        <v>195</v>
      </c>
      <c r="U4" s="7">
        <f t="shared" si="0"/>
        <v>45721</v>
      </c>
      <c r="V4" s="7">
        <v>46817</v>
      </c>
      <c r="W4" s="5" t="s">
        <v>425</v>
      </c>
      <c r="X4" s="5" t="s">
        <v>29</v>
      </c>
      <c r="Y4" s="5" t="s">
        <v>7</v>
      </c>
      <c r="Z4" s="5" t="s">
        <v>7</v>
      </c>
      <c r="AA4" s="7">
        <v>45131</v>
      </c>
      <c r="AB4" s="5" t="str">
        <f t="shared" si="1"/>
        <v>T1</v>
      </c>
      <c r="AC4" s="13">
        <f t="shared" si="2"/>
        <v>2025</v>
      </c>
    </row>
    <row r="5" spans="1:29" x14ac:dyDescent="0.45">
      <c r="A5" s="5" t="s">
        <v>190</v>
      </c>
      <c r="B5" s="5" t="s">
        <v>149</v>
      </c>
      <c r="C5" s="5" t="s">
        <v>162</v>
      </c>
      <c r="D5" s="5">
        <v>24</v>
      </c>
      <c r="E5" s="7">
        <v>36747</v>
      </c>
      <c r="F5" s="5" t="s">
        <v>189</v>
      </c>
      <c r="G5" s="5" t="s">
        <v>149</v>
      </c>
      <c r="H5" s="5" t="s">
        <v>20</v>
      </c>
      <c r="I5" s="5" t="s">
        <v>191</v>
      </c>
      <c r="J5" s="5" t="s">
        <v>5</v>
      </c>
      <c r="K5" s="5" t="str" cm="1">
        <f t="array" ref="K5">_xlfn.SWITCH(_xlfn.TEXTAFTER(L5," of "),
  "Business","BB",
  "IT","BT",
  "Nursing","BN",
  "Engineering","BE",
  "")</f>
        <v>BN</v>
      </c>
      <c r="L5" s="5" t="s">
        <v>192</v>
      </c>
      <c r="M5" s="10">
        <v>1134.74</v>
      </c>
      <c r="N5" s="10">
        <v>948.79</v>
      </c>
      <c r="O5" s="5">
        <v>1</v>
      </c>
      <c r="P5" s="13">
        <v>102</v>
      </c>
      <c r="Q5" s="5" t="s">
        <v>193</v>
      </c>
      <c r="R5" s="5" t="s">
        <v>30</v>
      </c>
      <c r="S5" s="5" t="s">
        <v>6</v>
      </c>
      <c r="T5" s="5" t="s">
        <v>203</v>
      </c>
      <c r="U5" s="7">
        <f t="shared" si="0"/>
        <v>45477</v>
      </c>
      <c r="V5" s="7">
        <v>46572</v>
      </c>
      <c r="W5" s="5" t="s">
        <v>425</v>
      </c>
      <c r="X5" s="5" t="s">
        <v>12</v>
      </c>
      <c r="Y5" s="5" t="s">
        <v>7</v>
      </c>
      <c r="Z5" s="5" t="s">
        <v>7</v>
      </c>
      <c r="AA5" s="7">
        <v>45179</v>
      </c>
      <c r="AB5" s="5" t="str">
        <f t="shared" si="1"/>
        <v>T2</v>
      </c>
      <c r="AC5" s="13">
        <f t="shared" si="2"/>
        <v>2024</v>
      </c>
    </row>
    <row r="6" spans="1:29" x14ac:dyDescent="0.45">
      <c r="A6" s="5" t="s">
        <v>194</v>
      </c>
      <c r="B6" s="5" t="s">
        <v>102</v>
      </c>
      <c r="C6" s="5" t="s">
        <v>103</v>
      </c>
      <c r="D6" s="5">
        <v>17</v>
      </c>
      <c r="E6" s="7">
        <v>39313</v>
      </c>
      <c r="F6" s="5" t="s">
        <v>178</v>
      </c>
      <c r="G6" s="5" t="s">
        <v>102</v>
      </c>
      <c r="H6" s="5" t="s">
        <v>8</v>
      </c>
      <c r="I6" s="5" t="s">
        <v>4</v>
      </c>
      <c r="J6" s="5" t="s">
        <v>5</v>
      </c>
      <c r="K6" s="5" t="str" cm="1">
        <f t="array" ref="K6">_xlfn.SWITCH(_xlfn.TEXTAFTER(L6," of "),
  "Business","BB",
  "IT","BT",
  "Nursing","BN",
  "Engineering","BE",
  "")</f>
        <v>BB</v>
      </c>
      <c r="L6" s="5" t="s">
        <v>180</v>
      </c>
      <c r="M6" s="10">
        <v>841.56</v>
      </c>
      <c r="N6" s="10">
        <v>631.54</v>
      </c>
      <c r="O6" s="5">
        <v>1</v>
      </c>
      <c r="P6" s="13">
        <v>247</v>
      </c>
      <c r="Q6" s="5" t="s">
        <v>181</v>
      </c>
      <c r="R6" s="5" t="s">
        <v>30</v>
      </c>
      <c r="S6" s="5" t="s">
        <v>6</v>
      </c>
      <c r="T6" s="5" t="s">
        <v>209</v>
      </c>
      <c r="U6" s="7">
        <f t="shared" si="0"/>
        <v>45477</v>
      </c>
      <c r="V6" s="7">
        <v>46572</v>
      </c>
      <c r="W6" s="5" t="s">
        <v>425</v>
      </c>
      <c r="X6" s="5" t="s">
        <v>29</v>
      </c>
      <c r="Y6" s="5" t="s">
        <v>7</v>
      </c>
      <c r="Z6" s="5" t="s">
        <v>7</v>
      </c>
      <c r="AA6" s="7">
        <v>45036</v>
      </c>
      <c r="AB6" s="5" t="str">
        <f t="shared" si="1"/>
        <v>T2</v>
      </c>
      <c r="AC6" s="13">
        <f t="shared" si="2"/>
        <v>2024</v>
      </c>
    </row>
    <row r="7" spans="1:29" x14ac:dyDescent="0.45">
      <c r="A7" s="5" t="s">
        <v>196</v>
      </c>
      <c r="B7" s="5" t="s">
        <v>124</v>
      </c>
      <c r="C7" s="5" t="s">
        <v>76</v>
      </c>
      <c r="D7" s="5">
        <v>17</v>
      </c>
      <c r="E7" s="7">
        <v>39225</v>
      </c>
      <c r="F7" s="5" t="s">
        <v>189</v>
      </c>
      <c r="G7" s="5" t="s">
        <v>124</v>
      </c>
      <c r="H7" s="5" t="s">
        <v>197</v>
      </c>
      <c r="I7" s="5" t="s">
        <v>23</v>
      </c>
      <c r="J7" s="5" t="s">
        <v>5</v>
      </c>
      <c r="K7" s="5" t="str" cm="1">
        <f t="array" ref="K7">_xlfn.SWITCH(_xlfn.TEXTAFTER(L7," of "),
  "Business","BB",
  "IT","BT",
  "Nursing","BN",
  "Engineering","BE",
  "")</f>
        <v>BN</v>
      </c>
      <c r="L7" s="5" t="s">
        <v>192</v>
      </c>
      <c r="M7" s="10">
        <v>1183.71</v>
      </c>
      <c r="N7" s="10">
        <v>855.35</v>
      </c>
      <c r="O7" s="5">
        <v>1</v>
      </c>
      <c r="P7" s="13">
        <v>7</v>
      </c>
      <c r="Q7" s="5" t="s">
        <v>198</v>
      </c>
      <c r="R7" s="5" t="s">
        <v>30</v>
      </c>
      <c r="S7" s="5" t="s">
        <v>6</v>
      </c>
      <c r="T7" s="5" t="s">
        <v>212</v>
      </c>
      <c r="U7" s="7">
        <f t="shared" si="0"/>
        <v>45358</v>
      </c>
      <c r="V7" s="7">
        <v>46453</v>
      </c>
      <c r="W7" s="5" t="s">
        <v>344</v>
      </c>
      <c r="X7" s="5" t="s">
        <v>183</v>
      </c>
      <c r="Y7" s="5" t="s">
        <v>7</v>
      </c>
      <c r="Z7" s="5" t="s">
        <v>7</v>
      </c>
      <c r="AA7" s="7">
        <v>45207</v>
      </c>
      <c r="AB7" s="5" t="str">
        <f t="shared" si="1"/>
        <v>T1</v>
      </c>
      <c r="AC7" s="13">
        <f t="shared" si="2"/>
        <v>2024</v>
      </c>
    </row>
    <row r="8" spans="1:29" x14ac:dyDescent="0.45">
      <c r="A8" s="5" t="s">
        <v>199</v>
      </c>
      <c r="B8" s="5" t="s">
        <v>61</v>
      </c>
      <c r="C8" s="5" t="s">
        <v>81</v>
      </c>
      <c r="D8" s="5">
        <v>19</v>
      </c>
      <c r="E8" s="7">
        <v>38381</v>
      </c>
      <c r="F8" s="5" t="s">
        <v>189</v>
      </c>
      <c r="G8" s="5" t="s">
        <v>61</v>
      </c>
      <c r="H8" s="5" t="s">
        <v>20</v>
      </c>
      <c r="I8" s="5" t="s">
        <v>4</v>
      </c>
      <c r="J8" s="5" t="s">
        <v>5</v>
      </c>
      <c r="K8" s="5" t="str" cm="1">
        <f t="array" ref="K8">_xlfn.SWITCH(_xlfn.TEXTAFTER(L8," of "),
  "Business","BB",
  "IT","BT",
  "Nursing","BN",
  "Engineering","BE",
  "")</f>
        <v>BE</v>
      </c>
      <c r="L8" s="5" t="s">
        <v>200</v>
      </c>
      <c r="M8" s="10">
        <v>1041.78</v>
      </c>
      <c r="N8" s="10">
        <v>627.37</v>
      </c>
      <c r="O8" s="5">
        <v>1</v>
      </c>
      <c r="P8" s="13">
        <v>97</v>
      </c>
      <c r="Q8" s="5" t="s">
        <v>198</v>
      </c>
      <c r="R8" s="5" t="s">
        <v>30</v>
      </c>
      <c r="S8" s="5" t="s">
        <v>6</v>
      </c>
      <c r="T8" s="5" t="s">
        <v>214</v>
      </c>
      <c r="U8" s="7">
        <f t="shared" si="0"/>
        <v>45477</v>
      </c>
      <c r="V8" s="7">
        <v>46572</v>
      </c>
      <c r="W8" s="5" t="s">
        <v>344</v>
      </c>
      <c r="X8" s="5" t="s">
        <v>183</v>
      </c>
      <c r="Y8" s="5" t="s">
        <v>7</v>
      </c>
      <c r="Z8" s="5" t="s">
        <v>7</v>
      </c>
      <c r="AA8" s="7">
        <v>45083</v>
      </c>
      <c r="AB8" s="5" t="str">
        <f t="shared" si="1"/>
        <v>T2</v>
      </c>
      <c r="AC8" s="13">
        <f t="shared" si="2"/>
        <v>2024</v>
      </c>
    </row>
    <row r="9" spans="1:29" x14ac:dyDescent="0.45">
      <c r="A9" s="5" t="s">
        <v>201</v>
      </c>
      <c r="B9" s="5" t="s">
        <v>92</v>
      </c>
      <c r="C9" s="5" t="s">
        <v>156</v>
      </c>
      <c r="D9" s="5">
        <v>28</v>
      </c>
      <c r="E9" s="7">
        <v>35077</v>
      </c>
      <c r="F9" s="5" t="s">
        <v>178</v>
      </c>
      <c r="G9" s="5" t="s">
        <v>92</v>
      </c>
      <c r="H9" s="5" t="s">
        <v>10</v>
      </c>
      <c r="I9" s="5" t="s">
        <v>202</v>
      </c>
      <c r="J9" s="5" t="s">
        <v>5</v>
      </c>
      <c r="K9" s="5" t="str" cm="1">
        <f t="array" ref="K9">_xlfn.SWITCH(_xlfn.TEXTAFTER(L9," of "),
  "Business","BB",
  "IT","BT",
  "Nursing","BN",
  "Engineering","BE",
  "")</f>
        <v>BT</v>
      </c>
      <c r="L9" s="5" t="s">
        <v>185</v>
      </c>
      <c r="M9" s="10">
        <v>993.48</v>
      </c>
      <c r="N9" s="10">
        <v>519.1</v>
      </c>
      <c r="O9" s="5">
        <v>1</v>
      </c>
      <c r="P9" s="13">
        <v>591</v>
      </c>
      <c r="Q9" s="5" t="s">
        <v>181</v>
      </c>
      <c r="R9" s="5" t="s">
        <v>30</v>
      </c>
      <c r="S9" s="5" t="s">
        <v>14</v>
      </c>
      <c r="T9" s="5" t="s">
        <v>219</v>
      </c>
      <c r="U9" s="7">
        <f t="shared" si="0"/>
        <v>45645</v>
      </c>
      <c r="V9" s="7">
        <v>46740</v>
      </c>
      <c r="W9" s="5" t="s">
        <v>344</v>
      </c>
      <c r="X9" s="5" t="s">
        <v>29</v>
      </c>
      <c r="Y9" s="5" t="s">
        <v>7</v>
      </c>
      <c r="Z9" s="5" t="s">
        <v>7</v>
      </c>
      <c r="AA9" s="7">
        <v>45170</v>
      </c>
      <c r="AB9" s="5" t="str">
        <f t="shared" si="1"/>
        <v>T3</v>
      </c>
      <c r="AC9" s="13">
        <f t="shared" si="2"/>
        <v>2024</v>
      </c>
    </row>
    <row r="10" spans="1:29" x14ac:dyDescent="0.45">
      <c r="A10" s="5" t="s">
        <v>204</v>
      </c>
      <c r="B10" s="5" t="s">
        <v>174</v>
      </c>
      <c r="C10" s="5" t="s">
        <v>128</v>
      </c>
      <c r="D10" s="5">
        <v>24</v>
      </c>
      <c r="E10" s="7">
        <v>36852</v>
      </c>
      <c r="F10" s="5" t="s">
        <v>189</v>
      </c>
      <c r="G10" s="5" t="s">
        <v>174</v>
      </c>
      <c r="H10" s="5" t="s">
        <v>16</v>
      </c>
      <c r="I10" s="5" t="s">
        <v>4</v>
      </c>
      <c r="J10" s="5" t="s">
        <v>5</v>
      </c>
      <c r="K10" s="5" t="str" cm="1">
        <f t="array" ref="K10">_xlfn.SWITCH(_xlfn.TEXTAFTER(L10," of "),
  "Business","BB",
  "IT","BT",
  "Nursing","BN",
  "Engineering","BE",
  "")</f>
        <v>BE</v>
      </c>
      <c r="L10" s="5" t="s">
        <v>200</v>
      </c>
      <c r="M10" s="10">
        <v>940.5</v>
      </c>
      <c r="N10" s="10">
        <v>417</v>
      </c>
      <c r="O10" s="5">
        <v>1</v>
      </c>
      <c r="P10" s="13">
        <v>361</v>
      </c>
      <c r="Q10" s="5" t="s">
        <v>181</v>
      </c>
      <c r="R10" s="5" t="s">
        <v>30</v>
      </c>
      <c r="S10" s="5" t="s">
        <v>18</v>
      </c>
      <c r="T10" s="5" t="s">
        <v>221</v>
      </c>
      <c r="U10" s="7">
        <f t="shared" si="0"/>
        <v>45721</v>
      </c>
      <c r="V10" s="7">
        <v>46817</v>
      </c>
      <c r="W10" s="5" t="s">
        <v>344</v>
      </c>
      <c r="X10" s="5" t="s">
        <v>29</v>
      </c>
      <c r="Y10" s="5" t="s">
        <v>7</v>
      </c>
      <c r="Z10" s="5" t="s">
        <v>7</v>
      </c>
      <c r="AA10" s="7">
        <v>45275</v>
      </c>
      <c r="AB10" s="5" t="str">
        <f t="shared" si="1"/>
        <v>T1</v>
      </c>
      <c r="AC10" s="13">
        <f t="shared" si="2"/>
        <v>2025</v>
      </c>
    </row>
    <row r="11" spans="1:29" x14ac:dyDescent="0.45">
      <c r="A11" s="5" t="s">
        <v>205</v>
      </c>
      <c r="B11" s="5" t="s">
        <v>139</v>
      </c>
      <c r="C11" s="5" t="s">
        <v>106</v>
      </c>
      <c r="D11" s="5">
        <v>27</v>
      </c>
      <c r="E11" s="7">
        <v>35673</v>
      </c>
      <c r="F11" s="5" t="s">
        <v>189</v>
      </c>
      <c r="G11" s="5" t="s">
        <v>139</v>
      </c>
      <c r="H11" s="5" t="s">
        <v>19</v>
      </c>
      <c r="I11" s="5" t="s">
        <v>4</v>
      </c>
      <c r="J11" s="5" t="s">
        <v>5</v>
      </c>
      <c r="K11" s="5" t="str" cm="1">
        <f t="array" ref="K11">_xlfn.SWITCH(_xlfn.TEXTAFTER(L11," of "),
  "Business","BB",
  "IT","BT",
  "Nursing","BN",
  "Engineering","BE",
  "")</f>
        <v>BN</v>
      </c>
      <c r="L11" s="5" t="s">
        <v>192</v>
      </c>
      <c r="M11" s="10">
        <v>1091.27</v>
      </c>
      <c r="N11" s="10">
        <v>879.75</v>
      </c>
      <c r="O11" s="5">
        <v>2</v>
      </c>
      <c r="P11" s="13">
        <v>518</v>
      </c>
      <c r="Q11" s="5" t="s">
        <v>206</v>
      </c>
      <c r="R11" s="5" t="s">
        <v>30</v>
      </c>
      <c r="S11" s="5" t="s">
        <v>21</v>
      </c>
      <c r="T11" s="5" t="s">
        <v>223</v>
      </c>
      <c r="U11" s="7">
        <f t="shared" si="0"/>
        <v>45645</v>
      </c>
      <c r="V11" s="7">
        <v>46740</v>
      </c>
      <c r="W11" s="5" t="s">
        <v>344</v>
      </c>
      <c r="X11" s="5" t="s">
        <v>12</v>
      </c>
      <c r="Y11" s="5" t="s">
        <v>7</v>
      </c>
      <c r="Z11" s="5" t="s">
        <v>7</v>
      </c>
      <c r="AA11" s="7">
        <v>45116</v>
      </c>
      <c r="AB11" s="5" t="str">
        <f t="shared" si="1"/>
        <v>T3</v>
      </c>
      <c r="AC11" s="13">
        <f t="shared" si="2"/>
        <v>2024</v>
      </c>
    </row>
    <row r="12" spans="1:29" x14ac:dyDescent="0.45">
      <c r="A12" s="5" t="s">
        <v>207</v>
      </c>
      <c r="B12" s="5" t="s">
        <v>136</v>
      </c>
      <c r="C12" s="5" t="s">
        <v>65</v>
      </c>
      <c r="D12" s="5">
        <v>18</v>
      </c>
      <c r="E12" s="7">
        <v>39001</v>
      </c>
      <c r="F12" s="5" t="s">
        <v>178</v>
      </c>
      <c r="G12" s="5" t="s">
        <v>136</v>
      </c>
      <c r="H12" s="5" t="s">
        <v>19</v>
      </c>
      <c r="I12" s="5" t="s">
        <v>4</v>
      </c>
      <c r="J12" s="5" t="s">
        <v>427</v>
      </c>
      <c r="K12" s="5" t="str" cm="1">
        <f t="array" ref="K12">_xlfn.SWITCH(_xlfn.TEXTAFTER(L12," of "),
  "Business","BB",
  "IT","BT",
  "Nursing","BN",
  "Engineering","BE",
  "")</f>
        <v>BE</v>
      </c>
      <c r="L12" s="5" t="s">
        <v>200</v>
      </c>
      <c r="M12" s="10">
        <v>979.33</v>
      </c>
      <c r="N12" s="10">
        <v>592.59</v>
      </c>
      <c r="O12" s="5">
        <v>1</v>
      </c>
      <c r="P12" s="13">
        <v>329</v>
      </c>
      <c r="Q12" s="5" t="s">
        <v>206</v>
      </c>
      <c r="R12" s="5" t="s">
        <v>30</v>
      </c>
      <c r="S12" s="5" t="s">
        <v>208</v>
      </c>
      <c r="T12" s="5" t="s">
        <v>225</v>
      </c>
      <c r="U12" s="7">
        <f t="shared" si="0"/>
        <v>45645</v>
      </c>
      <c r="V12" s="7">
        <v>46740</v>
      </c>
      <c r="W12" s="5" t="s">
        <v>344</v>
      </c>
      <c r="X12" s="5" t="s">
        <v>183</v>
      </c>
      <c r="Y12" s="5" t="s">
        <v>7</v>
      </c>
      <c r="Z12" s="5" t="s">
        <v>17</v>
      </c>
      <c r="AA12" s="7">
        <v>45569</v>
      </c>
      <c r="AB12" s="5" t="str">
        <f t="shared" si="1"/>
        <v>T3</v>
      </c>
      <c r="AC12" s="13">
        <f t="shared" si="2"/>
        <v>2024</v>
      </c>
    </row>
    <row r="13" spans="1:29" x14ac:dyDescent="0.45">
      <c r="A13" s="5" t="s">
        <v>210</v>
      </c>
      <c r="B13" s="5" t="s">
        <v>122</v>
      </c>
      <c r="C13" s="5" t="s">
        <v>66</v>
      </c>
      <c r="D13" s="5">
        <v>31</v>
      </c>
      <c r="E13" s="7">
        <v>34139</v>
      </c>
      <c r="F13" s="5" t="s">
        <v>189</v>
      </c>
      <c r="G13" s="5" t="s">
        <v>122</v>
      </c>
      <c r="H13" s="5" t="s">
        <v>20</v>
      </c>
      <c r="I13" s="5" t="s">
        <v>191</v>
      </c>
      <c r="J13" s="5" t="s">
        <v>427</v>
      </c>
      <c r="K13" s="5" t="str" cm="1">
        <f t="array" ref="K13">_xlfn.SWITCH(_xlfn.TEXTAFTER(L13," of "),
  "Business","BB",
  "IT","BT",
  "Nursing","BN",
  "Engineering","BE",
  "")</f>
        <v>BE</v>
      </c>
      <c r="L13" s="5" t="s">
        <v>200</v>
      </c>
      <c r="M13" s="10">
        <v>1068.28</v>
      </c>
      <c r="N13" s="10">
        <v>524.59</v>
      </c>
      <c r="O13" s="5">
        <v>1</v>
      </c>
      <c r="P13" s="13">
        <v>466</v>
      </c>
      <c r="Q13" s="5" t="s">
        <v>206</v>
      </c>
      <c r="R13" s="5" t="s">
        <v>30</v>
      </c>
      <c r="S13" s="5" t="s">
        <v>211</v>
      </c>
      <c r="T13" s="5" t="s">
        <v>228</v>
      </c>
      <c r="U13" s="7">
        <f t="shared" si="0"/>
        <v>45504</v>
      </c>
      <c r="V13" s="7">
        <v>46599</v>
      </c>
      <c r="W13" s="5" t="s">
        <v>344</v>
      </c>
      <c r="X13" s="5" t="s">
        <v>12</v>
      </c>
      <c r="Y13" s="5" t="s">
        <v>7</v>
      </c>
      <c r="Z13" s="5" t="s">
        <v>7</v>
      </c>
      <c r="AA13" s="7">
        <v>45032</v>
      </c>
      <c r="AB13" s="5" t="str">
        <f t="shared" si="1"/>
        <v>T2</v>
      </c>
      <c r="AC13" s="13">
        <f t="shared" si="2"/>
        <v>2024</v>
      </c>
    </row>
    <row r="14" spans="1:29" x14ac:dyDescent="0.45">
      <c r="A14" s="5" t="s">
        <v>213</v>
      </c>
      <c r="B14" s="5" t="s">
        <v>33</v>
      </c>
      <c r="C14" s="5" t="s">
        <v>99</v>
      </c>
      <c r="D14" s="5">
        <v>29</v>
      </c>
      <c r="E14" s="7">
        <v>34761</v>
      </c>
      <c r="F14" s="5" t="s">
        <v>189</v>
      </c>
      <c r="G14" s="5" t="s">
        <v>33</v>
      </c>
      <c r="H14" s="5" t="s">
        <v>8</v>
      </c>
      <c r="I14" s="5" t="s">
        <v>191</v>
      </c>
      <c r="J14" s="5" t="s">
        <v>427</v>
      </c>
      <c r="K14" s="5" t="str" cm="1">
        <f t="array" ref="K14">_xlfn.SWITCH(_xlfn.TEXTAFTER(L14," of "),
  "Business","BB",
  "IT","BT",
  "Nursing","BN",
  "Engineering","BE",
  "")</f>
        <v>BE</v>
      </c>
      <c r="L14" s="5" t="s">
        <v>200</v>
      </c>
      <c r="M14" s="10">
        <v>1023.02</v>
      </c>
      <c r="N14" s="10">
        <v>550.05999999999995</v>
      </c>
      <c r="O14" s="5">
        <v>1</v>
      </c>
      <c r="P14" s="13">
        <v>241</v>
      </c>
      <c r="Q14" s="5" t="s">
        <v>186</v>
      </c>
      <c r="R14" s="5" t="s">
        <v>24</v>
      </c>
      <c r="S14" s="5" t="s">
        <v>6</v>
      </c>
      <c r="T14" s="5" t="s">
        <v>230</v>
      </c>
      <c r="U14" s="7">
        <f t="shared" si="0"/>
        <v>45477</v>
      </c>
      <c r="V14" s="7">
        <v>46572</v>
      </c>
      <c r="W14" s="5" t="s">
        <v>344</v>
      </c>
      <c r="X14" s="5" t="s">
        <v>12</v>
      </c>
      <c r="Y14" s="5" t="s">
        <v>7</v>
      </c>
      <c r="Z14" s="5" t="s">
        <v>7</v>
      </c>
      <c r="AA14" s="7">
        <v>45203</v>
      </c>
      <c r="AB14" s="5" t="str">
        <f t="shared" si="1"/>
        <v>T2</v>
      </c>
      <c r="AC14" s="13">
        <f t="shared" si="2"/>
        <v>2024</v>
      </c>
    </row>
    <row r="15" spans="1:29" x14ac:dyDescent="0.45">
      <c r="A15" s="5" t="s">
        <v>215</v>
      </c>
      <c r="B15" s="5" t="s">
        <v>50</v>
      </c>
      <c r="C15" s="5" t="s">
        <v>88</v>
      </c>
      <c r="D15" s="5">
        <v>17</v>
      </c>
      <c r="E15" s="7">
        <v>39216</v>
      </c>
      <c r="F15" s="5" t="s">
        <v>216</v>
      </c>
      <c r="G15" s="5" t="s">
        <v>50</v>
      </c>
      <c r="H15" s="5" t="s">
        <v>16</v>
      </c>
      <c r="I15" s="5" t="s">
        <v>4</v>
      </c>
      <c r="J15" s="5" t="s">
        <v>427</v>
      </c>
      <c r="K15" s="5" t="str" cm="1">
        <f t="array" ref="K15">_xlfn.SWITCH(_xlfn.TEXTAFTER(L15," of "),
  "Business","BB",
  "IT","BT",
  "Nursing","BN",
  "Engineering","BE",
  "")</f>
        <v>BT</v>
      </c>
      <c r="L15" s="5" t="s">
        <v>185</v>
      </c>
      <c r="M15" s="10">
        <v>999.06</v>
      </c>
      <c r="N15" s="10">
        <v>660.03</v>
      </c>
      <c r="O15" s="5">
        <v>1</v>
      </c>
      <c r="P15" s="13">
        <v>20</v>
      </c>
      <c r="Q15" s="5" t="s">
        <v>206</v>
      </c>
      <c r="R15" s="5" t="s">
        <v>24</v>
      </c>
      <c r="S15" s="5" t="s">
        <v>28</v>
      </c>
      <c r="T15" s="5" t="s">
        <v>232</v>
      </c>
      <c r="U15" s="7">
        <f t="shared" si="0"/>
        <v>45358</v>
      </c>
      <c r="V15" s="7">
        <v>46453</v>
      </c>
      <c r="W15" s="5" t="s">
        <v>425</v>
      </c>
      <c r="X15" s="5" t="s">
        <v>12</v>
      </c>
      <c r="Y15" s="5" t="s">
        <v>7</v>
      </c>
      <c r="Z15" s="5" t="s">
        <v>7</v>
      </c>
      <c r="AA15" s="7">
        <v>45132</v>
      </c>
      <c r="AB15" s="5" t="str">
        <f t="shared" si="1"/>
        <v>T1</v>
      </c>
      <c r="AC15" s="13">
        <f t="shared" si="2"/>
        <v>2024</v>
      </c>
    </row>
    <row r="16" spans="1:29" x14ac:dyDescent="0.45">
      <c r="A16" s="5" t="s">
        <v>217</v>
      </c>
      <c r="B16" s="5" t="s">
        <v>127</v>
      </c>
      <c r="C16" s="5" t="s">
        <v>141</v>
      </c>
      <c r="D16" s="5">
        <v>20</v>
      </c>
      <c r="E16" s="7">
        <v>38014</v>
      </c>
      <c r="F16" s="5" t="s">
        <v>178</v>
      </c>
      <c r="G16" s="5" t="s">
        <v>127</v>
      </c>
      <c r="H16" s="5" t="s">
        <v>10</v>
      </c>
      <c r="I16" s="5" t="s">
        <v>4</v>
      </c>
      <c r="J16" s="5" t="s">
        <v>427</v>
      </c>
      <c r="K16" s="5" t="str" cm="1">
        <f t="array" ref="K16">_xlfn.SWITCH(_xlfn.TEXTAFTER(L16," of "),
  "Business","BB",
  "IT","BT",
  "Nursing","BN",
  "Engineering","BE",
  "")</f>
        <v>BB</v>
      </c>
      <c r="L16" s="5" t="s">
        <v>180</v>
      </c>
      <c r="M16" s="10">
        <v>891.85</v>
      </c>
      <c r="N16" s="10">
        <v>427.68</v>
      </c>
      <c r="O16" s="5">
        <v>1</v>
      </c>
      <c r="P16" s="13">
        <v>332</v>
      </c>
      <c r="Q16" s="5" t="s">
        <v>181</v>
      </c>
      <c r="R16" s="5" t="s">
        <v>24</v>
      </c>
      <c r="S16" s="5" t="s">
        <v>14</v>
      </c>
      <c r="T16" s="5" t="s">
        <v>236</v>
      </c>
      <c r="U16" s="7">
        <f t="shared" si="0"/>
        <v>45657</v>
      </c>
      <c r="V16" s="7">
        <v>46752</v>
      </c>
      <c r="W16" s="5" t="s">
        <v>425</v>
      </c>
      <c r="X16" s="5" t="s">
        <v>12</v>
      </c>
      <c r="Y16" s="5" t="s">
        <v>7</v>
      </c>
      <c r="Z16" s="5" t="s">
        <v>7</v>
      </c>
      <c r="AA16" s="7">
        <v>45164</v>
      </c>
      <c r="AB16" s="5" t="str">
        <f t="shared" si="1"/>
        <v>T3</v>
      </c>
      <c r="AC16" s="13">
        <f t="shared" si="2"/>
        <v>2024</v>
      </c>
    </row>
    <row r="17" spans="1:29" x14ac:dyDescent="0.45">
      <c r="A17" s="5" t="s">
        <v>218</v>
      </c>
      <c r="B17" s="5" t="s">
        <v>165</v>
      </c>
      <c r="C17" s="5" t="s">
        <v>49</v>
      </c>
      <c r="D17" s="5">
        <v>20</v>
      </c>
      <c r="E17" s="7">
        <v>38030</v>
      </c>
      <c r="F17" s="5" t="s">
        <v>189</v>
      </c>
      <c r="G17" s="5" t="s">
        <v>165</v>
      </c>
      <c r="H17" s="5" t="s">
        <v>10</v>
      </c>
      <c r="I17" s="5" t="s">
        <v>4</v>
      </c>
      <c r="J17" s="5" t="s">
        <v>427</v>
      </c>
      <c r="K17" s="5" t="str" cm="1">
        <f t="array" ref="K17">_xlfn.SWITCH(_xlfn.TEXTAFTER(L17," of "),
  "Business","BB",
  "IT","BT",
  "Nursing","BN",
  "Engineering","BE",
  "")</f>
        <v>BB</v>
      </c>
      <c r="L17" s="5" t="s">
        <v>180</v>
      </c>
      <c r="M17" s="10">
        <v>860.72</v>
      </c>
      <c r="N17" s="10">
        <v>676.08</v>
      </c>
      <c r="O17" s="5">
        <v>1</v>
      </c>
      <c r="P17" s="13">
        <v>590</v>
      </c>
      <c r="Q17" s="5" t="s">
        <v>198</v>
      </c>
      <c r="R17" s="5" t="s">
        <v>24</v>
      </c>
      <c r="S17" s="5" t="s">
        <v>18</v>
      </c>
      <c r="T17" s="5" t="s">
        <v>243</v>
      </c>
      <c r="U17" s="7">
        <f t="shared" si="0"/>
        <v>45645</v>
      </c>
      <c r="V17" s="7">
        <v>46740</v>
      </c>
      <c r="W17" s="5" t="s">
        <v>425</v>
      </c>
      <c r="X17" s="5" t="s">
        <v>29</v>
      </c>
      <c r="Y17" s="5" t="s">
        <v>7</v>
      </c>
      <c r="Z17" s="5" t="s">
        <v>7</v>
      </c>
      <c r="AA17" s="7">
        <v>45185</v>
      </c>
      <c r="AB17" s="5" t="str">
        <f t="shared" si="1"/>
        <v>T3</v>
      </c>
      <c r="AC17" s="13">
        <f t="shared" si="2"/>
        <v>2024</v>
      </c>
    </row>
    <row r="18" spans="1:29" x14ac:dyDescent="0.45">
      <c r="A18" s="5" t="s">
        <v>220</v>
      </c>
      <c r="B18" s="5" t="s">
        <v>135</v>
      </c>
      <c r="C18" s="5" t="s">
        <v>76</v>
      </c>
      <c r="D18" s="5">
        <v>20</v>
      </c>
      <c r="E18" s="7">
        <v>38272</v>
      </c>
      <c r="F18" s="5" t="s">
        <v>216</v>
      </c>
      <c r="G18" s="5" t="s">
        <v>135</v>
      </c>
      <c r="H18" s="5" t="s">
        <v>19</v>
      </c>
      <c r="I18" s="5" t="s">
        <v>4</v>
      </c>
      <c r="J18" s="5" t="s">
        <v>427</v>
      </c>
      <c r="K18" s="5" t="str" cm="1">
        <f t="array" ref="K18">_xlfn.SWITCH(_xlfn.TEXTAFTER(L18," of "),
  "Business","BB",
  "IT","BT",
  "Nursing","BN",
  "Engineering","BE",
  "")</f>
        <v>BB</v>
      </c>
      <c r="L18" s="5" t="s">
        <v>180</v>
      </c>
      <c r="M18" s="10">
        <v>907.86</v>
      </c>
      <c r="N18" s="10">
        <v>673.03</v>
      </c>
      <c r="O18" s="5">
        <v>1</v>
      </c>
      <c r="P18" s="13">
        <v>320</v>
      </c>
      <c r="Q18" s="5" t="s">
        <v>193</v>
      </c>
      <c r="R18" s="5" t="s">
        <v>24</v>
      </c>
      <c r="S18" s="5" t="s">
        <v>6</v>
      </c>
      <c r="T18" s="5" t="s">
        <v>245</v>
      </c>
      <c r="U18" s="7">
        <f t="shared" si="0"/>
        <v>45358</v>
      </c>
      <c r="V18" s="7">
        <v>46453</v>
      </c>
      <c r="W18" s="5" t="s">
        <v>425</v>
      </c>
      <c r="X18" s="5" t="s">
        <v>29</v>
      </c>
      <c r="Y18" s="5" t="s">
        <v>7</v>
      </c>
      <c r="Z18" s="5" t="s">
        <v>17</v>
      </c>
      <c r="AA18" s="7">
        <v>45169</v>
      </c>
      <c r="AB18" s="5" t="str">
        <f t="shared" si="1"/>
        <v>T1</v>
      </c>
      <c r="AC18" s="13">
        <f t="shared" si="2"/>
        <v>2024</v>
      </c>
    </row>
    <row r="19" spans="1:29" x14ac:dyDescent="0.45">
      <c r="A19" s="5" t="s">
        <v>222</v>
      </c>
      <c r="B19" s="5" t="s">
        <v>157</v>
      </c>
      <c r="C19" s="5" t="s">
        <v>88</v>
      </c>
      <c r="D19" s="5">
        <v>22</v>
      </c>
      <c r="E19" s="7">
        <v>37587</v>
      </c>
      <c r="F19" s="5" t="s">
        <v>189</v>
      </c>
      <c r="G19" s="5" t="s">
        <v>157</v>
      </c>
      <c r="H19" s="5" t="s">
        <v>197</v>
      </c>
      <c r="I19" s="5" t="s">
        <v>4</v>
      </c>
      <c r="J19" s="5" t="s">
        <v>427</v>
      </c>
      <c r="K19" s="5" t="str" cm="1">
        <f t="array" ref="K19">_xlfn.SWITCH(_xlfn.TEXTAFTER(L19," of "),
  "Business","BB",
  "IT","BT",
  "Nursing","BN",
  "Engineering","BE",
  "")</f>
        <v>BE</v>
      </c>
      <c r="L19" s="5" t="s">
        <v>200</v>
      </c>
      <c r="M19" s="10">
        <v>930.21</v>
      </c>
      <c r="N19" s="10">
        <v>673.25</v>
      </c>
      <c r="O19" s="5">
        <v>1</v>
      </c>
      <c r="P19" s="13">
        <v>507</v>
      </c>
      <c r="Q19" s="5" t="s">
        <v>181</v>
      </c>
      <c r="R19" s="5" t="s">
        <v>24</v>
      </c>
      <c r="S19" s="5" t="s">
        <v>18</v>
      </c>
      <c r="T19" s="5" t="s">
        <v>250</v>
      </c>
      <c r="U19" s="7">
        <f t="shared" si="0"/>
        <v>45645</v>
      </c>
      <c r="V19" s="7">
        <v>46740</v>
      </c>
      <c r="W19" s="5" t="s">
        <v>425</v>
      </c>
      <c r="X19" s="5" t="s">
        <v>29</v>
      </c>
      <c r="Y19" s="5" t="s">
        <v>7</v>
      </c>
      <c r="Z19" s="5" t="s">
        <v>7</v>
      </c>
      <c r="AA19" s="7">
        <v>45368</v>
      </c>
      <c r="AB19" s="5" t="str">
        <f t="shared" si="1"/>
        <v>T3</v>
      </c>
      <c r="AC19" s="13">
        <f t="shared" si="2"/>
        <v>2024</v>
      </c>
    </row>
    <row r="20" spans="1:29" x14ac:dyDescent="0.45">
      <c r="A20" s="5" t="s">
        <v>224</v>
      </c>
      <c r="B20" s="5" t="s">
        <v>72</v>
      </c>
      <c r="C20" s="5" t="s">
        <v>57</v>
      </c>
      <c r="D20" s="5">
        <v>20</v>
      </c>
      <c r="E20" s="7">
        <v>38334</v>
      </c>
      <c r="F20" s="5" t="s">
        <v>178</v>
      </c>
      <c r="G20" s="5" t="s">
        <v>72</v>
      </c>
      <c r="H20" s="5" t="s">
        <v>20</v>
      </c>
      <c r="I20" s="5" t="s">
        <v>4</v>
      </c>
      <c r="J20" s="5" t="s">
        <v>427</v>
      </c>
      <c r="K20" s="5" t="str" cm="1">
        <f t="array" ref="K20">_xlfn.SWITCH(_xlfn.TEXTAFTER(L20," of "),
  "Business","BB",
  "IT","BT",
  "Nursing","BN",
  "Engineering","BE",
  "")</f>
        <v>BB</v>
      </c>
      <c r="L20" s="5" t="s">
        <v>180</v>
      </c>
      <c r="M20" s="10">
        <v>947.18</v>
      </c>
      <c r="N20" s="10">
        <v>563.04</v>
      </c>
      <c r="O20" s="5">
        <v>1</v>
      </c>
      <c r="P20" s="13">
        <v>84</v>
      </c>
      <c r="Q20" s="5" t="s">
        <v>181</v>
      </c>
      <c r="R20" s="5" t="s">
        <v>24</v>
      </c>
      <c r="S20" s="5" t="s">
        <v>6</v>
      </c>
      <c r="T20" s="5" t="s">
        <v>253</v>
      </c>
      <c r="U20" s="7">
        <f t="shared" si="0"/>
        <v>45477</v>
      </c>
      <c r="V20" s="7">
        <v>46572</v>
      </c>
      <c r="W20" s="5" t="s">
        <v>425</v>
      </c>
      <c r="X20" s="5" t="s">
        <v>12</v>
      </c>
      <c r="Y20" s="5" t="s">
        <v>7</v>
      </c>
      <c r="Z20" s="5" t="s">
        <v>7</v>
      </c>
      <c r="AA20" s="7">
        <v>45515</v>
      </c>
      <c r="AB20" s="5" t="str">
        <f t="shared" si="1"/>
        <v>T2</v>
      </c>
      <c r="AC20" s="13">
        <f t="shared" si="2"/>
        <v>2024</v>
      </c>
    </row>
    <row r="21" spans="1:29" x14ac:dyDescent="0.45">
      <c r="A21" s="5" t="s">
        <v>226</v>
      </c>
      <c r="B21" s="5" t="s">
        <v>161</v>
      </c>
      <c r="C21" s="5" t="s">
        <v>168</v>
      </c>
      <c r="D21" s="5">
        <v>17</v>
      </c>
      <c r="E21" s="7">
        <v>39313</v>
      </c>
      <c r="F21" s="5" t="s">
        <v>178</v>
      </c>
      <c r="G21" s="5" t="s">
        <v>161</v>
      </c>
      <c r="H21" s="5" t="s">
        <v>20</v>
      </c>
      <c r="I21" s="5" t="s">
        <v>4</v>
      </c>
      <c r="J21" s="5" t="s">
        <v>427</v>
      </c>
      <c r="K21" s="5" t="str" cm="1">
        <f t="array" ref="K21">_xlfn.SWITCH(_xlfn.TEXTAFTER(L21," of "),
  "Business","BB",
  "IT","BT",
  "Nursing","BN",
  "Engineering","BE",
  "")</f>
        <v>BE</v>
      </c>
      <c r="L21" s="5" t="s">
        <v>200</v>
      </c>
      <c r="M21" s="10">
        <v>1021.07</v>
      </c>
      <c r="N21" s="10">
        <v>696.66</v>
      </c>
      <c r="O21" s="5">
        <v>1</v>
      </c>
      <c r="P21" s="13">
        <v>403</v>
      </c>
      <c r="Q21" s="5" t="s">
        <v>181</v>
      </c>
      <c r="R21" s="5" t="s">
        <v>24</v>
      </c>
      <c r="S21" s="5" t="s">
        <v>14</v>
      </c>
      <c r="T21" s="5" t="s">
        <v>255</v>
      </c>
      <c r="U21" s="7">
        <f t="shared" si="0"/>
        <v>45657</v>
      </c>
      <c r="V21" s="7">
        <v>46752</v>
      </c>
      <c r="W21" s="5" t="s">
        <v>425</v>
      </c>
      <c r="X21" s="5" t="s">
        <v>12</v>
      </c>
      <c r="Y21" s="5" t="s">
        <v>7</v>
      </c>
      <c r="Z21" s="5" t="s">
        <v>7</v>
      </c>
      <c r="AA21" s="7">
        <v>45442</v>
      </c>
      <c r="AB21" s="5" t="str">
        <f t="shared" si="1"/>
        <v>T3</v>
      </c>
      <c r="AC21" s="13">
        <f t="shared" si="2"/>
        <v>2024</v>
      </c>
    </row>
    <row r="22" spans="1:29" x14ac:dyDescent="0.45">
      <c r="A22" s="5" t="s">
        <v>227</v>
      </c>
      <c r="B22" s="5" t="s">
        <v>82</v>
      </c>
      <c r="C22" s="5" t="s">
        <v>69</v>
      </c>
      <c r="D22" s="5">
        <v>22</v>
      </c>
      <c r="E22" s="7">
        <v>37481</v>
      </c>
      <c r="F22" s="5" t="s">
        <v>216</v>
      </c>
      <c r="G22" s="5" t="s">
        <v>82</v>
      </c>
      <c r="H22" s="5" t="s">
        <v>8</v>
      </c>
      <c r="I22" s="5" t="s">
        <v>4</v>
      </c>
      <c r="J22" s="5" t="s">
        <v>427</v>
      </c>
      <c r="K22" s="5" t="str" cm="1">
        <f t="array" ref="K22">_xlfn.SWITCH(_xlfn.TEXTAFTER(L22," of "),
  "Business","BB",
  "IT","BT",
  "Nursing","BN",
  "Engineering","BE",
  "")</f>
        <v>BB</v>
      </c>
      <c r="L22" s="5" t="s">
        <v>180</v>
      </c>
      <c r="M22" s="10">
        <v>937.16</v>
      </c>
      <c r="N22" s="10">
        <v>621.19000000000005</v>
      </c>
      <c r="O22" s="5">
        <v>1</v>
      </c>
      <c r="P22" s="13">
        <v>208</v>
      </c>
      <c r="Q22" s="5" t="s">
        <v>206</v>
      </c>
      <c r="R22" s="5" t="s">
        <v>30</v>
      </c>
      <c r="S22" s="5" t="s">
        <v>6</v>
      </c>
      <c r="T22" s="5" t="s">
        <v>257</v>
      </c>
      <c r="U22" s="7">
        <f t="shared" si="0"/>
        <v>45477</v>
      </c>
      <c r="V22" s="7">
        <v>46572</v>
      </c>
      <c r="W22" s="5" t="s">
        <v>251</v>
      </c>
      <c r="X22" s="5" t="s">
        <v>183</v>
      </c>
      <c r="Y22" s="5" t="s">
        <v>7</v>
      </c>
      <c r="Z22" s="5" t="s">
        <v>17</v>
      </c>
      <c r="AA22" s="7">
        <v>45105</v>
      </c>
      <c r="AB22" s="5" t="str">
        <f t="shared" si="1"/>
        <v>T2</v>
      </c>
      <c r="AC22" s="13">
        <f t="shared" si="2"/>
        <v>2024</v>
      </c>
    </row>
    <row r="23" spans="1:29" x14ac:dyDescent="0.45">
      <c r="A23" s="5" t="s">
        <v>229</v>
      </c>
      <c r="B23" s="5" t="s">
        <v>97</v>
      </c>
      <c r="C23" s="5" t="s">
        <v>138</v>
      </c>
      <c r="D23" s="5">
        <v>17</v>
      </c>
      <c r="E23" s="7">
        <v>39365</v>
      </c>
      <c r="F23" s="5" t="s">
        <v>178</v>
      </c>
      <c r="G23" s="5" t="s">
        <v>97</v>
      </c>
      <c r="H23" s="5" t="s">
        <v>10</v>
      </c>
      <c r="I23" s="5" t="s">
        <v>4</v>
      </c>
      <c r="J23" s="5" t="s">
        <v>427</v>
      </c>
      <c r="K23" s="5" t="str" cm="1">
        <f t="array" ref="K23">_xlfn.SWITCH(_xlfn.TEXTAFTER(L23," of "),
  "Business","BB",
  "IT","BT",
  "Nursing","BN",
  "Engineering","BE",
  "")</f>
        <v>BN</v>
      </c>
      <c r="L23" s="5" t="s">
        <v>192</v>
      </c>
      <c r="M23" s="10">
        <v>1074.4000000000001</v>
      </c>
      <c r="N23" s="10">
        <v>743.95</v>
      </c>
      <c r="O23" s="5">
        <v>1</v>
      </c>
      <c r="P23" s="13">
        <v>621</v>
      </c>
      <c r="Q23" s="5" t="s">
        <v>181</v>
      </c>
      <c r="R23" s="5" t="s">
        <v>9</v>
      </c>
      <c r="S23" s="5" t="s">
        <v>18</v>
      </c>
      <c r="T23" s="5" t="s">
        <v>261</v>
      </c>
      <c r="U23" s="7">
        <f t="shared" si="0"/>
        <v>45645</v>
      </c>
      <c r="V23" s="7">
        <v>46740</v>
      </c>
      <c r="W23" s="5" t="s">
        <v>251</v>
      </c>
      <c r="X23" s="5" t="s">
        <v>29</v>
      </c>
      <c r="Y23" s="5" t="s">
        <v>17</v>
      </c>
      <c r="Z23" s="5" t="s">
        <v>7</v>
      </c>
      <c r="AA23" s="7">
        <v>45342</v>
      </c>
      <c r="AB23" s="5" t="str">
        <f t="shared" si="1"/>
        <v>T3</v>
      </c>
      <c r="AC23" s="13">
        <f t="shared" si="2"/>
        <v>2024</v>
      </c>
    </row>
    <row r="24" spans="1:29" x14ac:dyDescent="0.45">
      <c r="A24" s="5" t="s">
        <v>231</v>
      </c>
      <c r="B24" s="5" t="s">
        <v>107</v>
      </c>
      <c r="C24" s="5" t="s">
        <v>154</v>
      </c>
      <c r="D24" s="5">
        <v>18</v>
      </c>
      <c r="E24" s="7">
        <v>38838</v>
      </c>
      <c r="F24" s="5" t="s">
        <v>178</v>
      </c>
      <c r="G24" s="5" t="s">
        <v>107</v>
      </c>
      <c r="H24" s="5" t="s">
        <v>19</v>
      </c>
      <c r="I24" s="5" t="s">
        <v>4</v>
      </c>
      <c r="J24" s="5" t="s">
        <v>427</v>
      </c>
      <c r="K24" s="5" t="str" cm="1">
        <f t="array" ref="K24">_xlfn.SWITCH(_xlfn.TEXTAFTER(L24," of "),
  "Business","BB",
  "IT","BT",
  "Nursing","BN",
  "Engineering","BE",
  "")</f>
        <v>BB</v>
      </c>
      <c r="L24" s="5" t="s">
        <v>180</v>
      </c>
      <c r="M24" s="10">
        <v>967.78</v>
      </c>
      <c r="N24" s="10">
        <v>423.89</v>
      </c>
      <c r="O24" s="5">
        <v>1</v>
      </c>
      <c r="P24" s="13">
        <v>495</v>
      </c>
      <c r="Q24" s="5" t="s">
        <v>181</v>
      </c>
      <c r="R24" s="5" t="s">
        <v>9</v>
      </c>
      <c r="S24" s="5" t="s">
        <v>18</v>
      </c>
      <c r="T24" s="5" t="s">
        <v>265</v>
      </c>
      <c r="U24" s="7">
        <f t="shared" si="0"/>
        <v>45645</v>
      </c>
      <c r="V24" s="7">
        <v>46740</v>
      </c>
      <c r="W24" s="5" t="s">
        <v>251</v>
      </c>
      <c r="X24" s="5" t="s">
        <v>12</v>
      </c>
      <c r="Y24" s="5" t="s">
        <v>7</v>
      </c>
      <c r="Z24" s="5" t="s">
        <v>7</v>
      </c>
      <c r="AA24" s="7">
        <v>45306</v>
      </c>
      <c r="AB24" s="5" t="str">
        <f t="shared" si="1"/>
        <v>T3</v>
      </c>
      <c r="AC24" s="13">
        <f t="shared" si="2"/>
        <v>2024</v>
      </c>
    </row>
    <row r="25" spans="1:29" x14ac:dyDescent="0.45">
      <c r="A25" s="5" t="s">
        <v>233</v>
      </c>
      <c r="B25" s="5" t="s">
        <v>158</v>
      </c>
      <c r="C25" s="5" t="s">
        <v>132</v>
      </c>
      <c r="D25" s="5">
        <v>20</v>
      </c>
      <c r="E25" s="7">
        <v>38219</v>
      </c>
      <c r="F25" s="5" t="s">
        <v>178</v>
      </c>
      <c r="G25" s="5" t="s">
        <v>158</v>
      </c>
      <c r="H25" s="5" t="s">
        <v>20</v>
      </c>
      <c r="I25" s="5" t="s">
        <v>4</v>
      </c>
      <c r="J25" s="5" t="s">
        <v>427</v>
      </c>
      <c r="K25" s="5" t="str" cm="1">
        <f t="array" ref="K25">_xlfn.SWITCH(_xlfn.TEXTAFTER(L25," of "),
  "Business","BB",
  "IT","BT",
  "Nursing","BN",
  "Engineering","BE",
  "")</f>
        <v>BE</v>
      </c>
      <c r="L25" s="5" t="s">
        <v>200</v>
      </c>
      <c r="M25" s="10">
        <v>1062.9000000000001</v>
      </c>
      <c r="N25" s="10">
        <v>624.04</v>
      </c>
      <c r="O25" s="5">
        <v>3</v>
      </c>
      <c r="P25" s="13">
        <v>24</v>
      </c>
      <c r="Q25" s="5" t="s">
        <v>181</v>
      </c>
      <c r="R25" s="5" t="s">
        <v>9</v>
      </c>
      <c r="S25" s="5" t="s">
        <v>28</v>
      </c>
      <c r="T25" s="5" t="s">
        <v>267</v>
      </c>
      <c r="U25" s="7">
        <f t="shared" si="0"/>
        <v>45358</v>
      </c>
      <c r="V25" s="7">
        <v>46453</v>
      </c>
      <c r="W25" s="5" t="s">
        <v>251</v>
      </c>
      <c r="X25" s="5" t="s">
        <v>183</v>
      </c>
      <c r="Y25" s="5" t="s">
        <v>7</v>
      </c>
      <c r="Z25" s="5" t="s">
        <v>7</v>
      </c>
      <c r="AA25" s="7">
        <v>45624</v>
      </c>
      <c r="AB25" s="5" t="str">
        <f t="shared" si="1"/>
        <v>T1</v>
      </c>
      <c r="AC25" s="13">
        <f t="shared" si="2"/>
        <v>2024</v>
      </c>
    </row>
    <row r="26" spans="1:29" x14ac:dyDescent="0.45">
      <c r="A26" s="5" t="s">
        <v>234</v>
      </c>
      <c r="B26" s="5" t="s">
        <v>145</v>
      </c>
      <c r="C26" s="5" t="s">
        <v>100</v>
      </c>
      <c r="D26" s="5">
        <v>23</v>
      </c>
      <c r="E26" s="7">
        <v>37250</v>
      </c>
      <c r="F26" s="5" t="s">
        <v>189</v>
      </c>
      <c r="G26" s="5" t="s">
        <v>145</v>
      </c>
      <c r="H26" s="5" t="s">
        <v>19</v>
      </c>
      <c r="I26" s="5" t="s">
        <v>4</v>
      </c>
      <c r="J26" s="5" t="s">
        <v>427</v>
      </c>
      <c r="K26" s="5" t="str" cm="1">
        <f t="array" ref="K26">_xlfn.SWITCH(_xlfn.TEXTAFTER(L26," of "),
  "Business","BB",
  "IT","BT",
  "Nursing","BN",
  "Engineering","BE",
  "")</f>
        <v>BT</v>
      </c>
      <c r="L26" s="5" t="s">
        <v>185</v>
      </c>
      <c r="M26" s="10">
        <v>992.31</v>
      </c>
      <c r="N26" s="10">
        <v>415.51</v>
      </c>
      <c r="O26" s="5">
        <v>1</v>
      </c>
      <c r="P26" s="13">
        <v>393</v>
      </c>
      <c r="Q26" s="5" t="s">
        <v>181</v>
      </c>
      <c r="R26" s="5" t="s">
        <v>9</v>
      </c>
      <c r="S26" s="5" t="s">
        <v>235</v>
      </c>
      <c r="T26" s="5" t="s">
        <v>270</v>
      </c>
      <c r="U26" s="7">
        <f t="shared" si="0"/>
        <v>45657</v>
      </c>
      <c r="V26" s="7">
        <v>46752</v>
      </c>
      <c r="W26" s="5" t="s">
        <v>251</v>
      </c>
      <c r="X26" s="5" t="s">
        <v>12</v>
      </c>
      <c r="Y26" s="5" t="s">
        <v>7</v>
      </c>
      <c r="Z26" s="5" t="s">
        <v>7</v>
      </c>
      <c r="AA26" s="7">
        <v>45534</v>
      </c>
      <c r="AB26" s="5" t="str">
        <f t="shared" si="1"/>
        <v>T3</v>
      </c>
      <c r="AC26" s="13">
        <f t="shared" si="2"/>
        <v>2024</v>
      </c>
    </row>
    <row r="27" spans="1:29" x14ac:dyDescent="0.45">
      <c r="A27" s="5" t="s">
        <v>237</v>
      </c>
      <c r="B27" s="5" t="s">
        <v>140</v>
      </c>
      <c r="C27" s="5" t="s">
        <v>100</v>
      </c>
      <c r="D27" s="5">
        <v>27</v>
      </c>
      <c r="E27" s="7">
        <v>35567</v>
      </c>
      <c r="F27" s="5" t="s">
        <v>216</v>
      </c>
      <c r="G27" s="5" t="s">
        <v>140</v>
      </c>
      <c r="H27" s="5" t="s">
        <v>19</v>
      </c>
      <c r="I27" s="5" t="s">
        <v>202</v>
      </c>
      <c r="J27" s="5" t="s">
        <v>427</v>
      </c>
      <c r="K27" s="5" t="str" cm="1">
        <f t="array" ref="K27">_xlfn.SWITCH(_xlfn.TEXTAFTER(L27," of "),
  "Business","BB",
  "IT","BT",
  "Nursing","BN",
  "Engineering","BE",
  "")</f>
        <v>BB</v>
      </c>
      <c r="L27" s="5" t="s">
        <v>180</v>
      </c>
      <c r="M27" s="10">
        <v>856.03</v>
      </c>
      <c r="N27" s="10">
        <v>532.70000000000005</v>
      </c>
      <c r="O27" s="5">
        <v>1</v>
      </c>
      <c r="P27" s="13">
        <v>552</v>
      </c>
      <c r="Q27" s="5" t="s">
        <v>181</v>
      </c>
      <c r="R27" s="5" t="s">
        <v>9</v>
      </c>
      <c r="S27" s="5" t="s">
        <v>18</v>
      </c>
      <c r="T27" s="5" t="s">
        <v>272</v>
      </c>
      <c r="U27" s="7">
        <f t="shared" si="0"/>
        <v>45645</v>
      </c>
      <c r="V27" s="7">
        <v>46740</v>
      </c>
      <c r="W27" s="5" t="s">
        <v>251</v>
      </c>
      <c r="X27" s="5" t="s">
        <v>12</v>
      </c>
      <c r="Y27" s="5" t="s">
        <v>7</v>
      </c>
      <c r="Z27" s="5" t="s">
        <v>7</v>
      </c>
      <c r="AA27" s="7">
        <v>45531</v>
      </c>
      <c r="AB27" s="5" t="str">
        <f t="shared" si="1"/>
        <v>T3</v>
      </c>
      <c r="AC27" s="13">
        <f t="shared" si="2"/>
        <v>2024</v>
      </c>
    </row>
    <row r="28" spans="1:29" x14ac:dyDescent="0.45">
      <c r="A28" s="5" t="s">
        <v>238</v>
      </c>
      <c r="B28" s="5" t="s">
        <v>133</v>
      </c>
      <c r="C28" s="5" t="s">
        <v>37</v>
      </c>
      <c r="D28" s="5">
        <v>18</v>
      </c>
      <c r="E28" s="7">
        <v>38882</v>
      </c>
      <c r="F28" s="5" t="s">
        <v>216</v>
      </c>
      <c r="G28" s="5" t="s">
        <v>133</v>
      </c>
      <c r="H28" s="5" t="s">
        <v>19</v>
      </c>
      <c r="I28" s="5" t="s">
        <v>4</v>
      </c>
      <c r="J28" s="5" t="s">
        <v>427</v>
      </c>
      <c r="K28" s="5" t="str" cm="1">
        <f t="array" ref="K28">_xlfn.SWITCH(_xlfn.TEXTAFTER(L28," of "),
  "Business","BB",
  "IT","BT",
  "Nursing","BN",
  "Engineering","BE",
  "")</f>
        <v>BT</v>
      </c>
      <c r="L28" s="5" t="s">
        <v>185</v>
      </c>
      <c r="M28" s="10">
        <v>944.94</v>
      </c>
      <c r="N28" s="10">
        <v>518.24</v>
      </c>
      <c r="O28" s="5">
        <v>1</v>
      </c>
      <c r="P28" s="13">
        <v>427</v>
      </c>
      <c r="Q28" s="5" t="s">
        <v>198</v>
      </c>
      <c r="R28" s="5" t="s">
        <v>9</v>
      </c>
      <c r="S28" s="5" t="s">
        <v>18</v>
      </c>
      <c r="T28" s="5" t="s">
        <v>274</v>
      </c>
      <c r="U28" s="7">
        <f t="shared" si="0"/>
        <v>45645</v>
      </c>
      <c r="V28" s="7">
        <v>46740</v>
      </c>
      <c r="W28" s="5" t="s">
        <v>251</v>
      </c>
      <c r="X28" s="5" t="s">
        <v>183</v>
      </c>
      <c r="Y28" s="5" t="s">
        <v>7</v>
      </c>
      <c r="Z28" s="5" t="s">
        <v>7</v>
      </c>
      <c r="AA28" s="7">
        <v>45132</v>
      </c>
      <c r="AB28" s="5" t="str">
        <f t="shared" si="1"/>
        <v>T3</v>
      </c>
      <c r="AC28" s="13">
        <f t="shared" si="2"/>
        <v>2024</v>
      </c>
    </row>
    <row r="29" spans="1:29" x14ac:dyDescent="0.45">
      <c r="A29" s="5" t="s">
        <v>239</v>
      </c>
      <c r="B29" s="5" t="s">
        <v>113</v>
      </c>
      <c r="C29" s="5" t="s">
        <v>134</v>
      </c>
      <c r="D29" s="5">
        <v>21</v>
      </c>
      <c r="E29" s="7">
        <v>37928</v>
      </c>
      <c r="F29" s="5" t="s">
        <v>216</v>
      </c>
      <c r="G29" s="5" t="s">
        <v>113</v>
      </c>
      <c r="H29" s="5" t="s">
        <v>19</v>
      </c>
      <c r="I29" s="5" t="s">
        <v>240</v>
      </c>
      <c r="J29" s="5" t="s">
        <v>427</v>
      </c>
      <c r="K29" s="5" t="str" cm="1">
        <f t="array" ref="K29">_xlfn.SWITCH(_xlfn.TEXTAFTER(L29," of "),
  "Business","BB",
  "IT","BT",
  "Nursing","BN",
  "Engineering","BE",
  "")</f>
        <v>BB</v>
      </c>
      <c r="L29" s="5" t="s">
        <v>180</v>
      </c>
      <c r="M29" s="10">
        <v>834.31</v>
      </c>
      <c r="N29" s="10">
        <v>387.98</v>
      </c>
      <c r="O29" s="5">
        <v>1</v>
      </c>
      <c r="P29" s="13">
        <v>608</v>
      </c>
      <c r="Q29" s="5" t="s">
        <v>193</v>
      </c>
      <c r="R29" s="5" t="s">
        <v>9</v>
      </c>
      <c r="S29" s="5" t="s">
        <v>18</v>
      </c>
      <c r="T29" s="5" t="s">
        <v>277</v>
      </c>
      <c r="U29" s="7">
        <f t="shared" si="0"/>
        <v>45721</v>
      </c>
      <c r="V29" s="7">
        <v>46817</v>
      </c>
      <c r="W29" s="5" t="s">
        <v>251</v>
      </c>
      <c r="X29" s="5" t="s">
        <v>12</v>
      </c>
      <c r="Y29" s="5" t="s">
        <v>7</v>
      </c>
      <c r="Z29" s="5" t="s">
        <v>7</v>
      </c>
      <c r="AA29" s="7">
        <v>44988</v>
      </c>
      <c r="AB29" s="5" t="str">
        <f t="shared" si="1"/>
        <v>T1</v>
      </c>
      <c r="AC29" s="13">
        <f t="shared" si="2"/>
        <v>2025</v>
      </c>
    </row>
    <row r="30" spans="1:29" x14ac:dyDescent="0.45">
      <c r="A30" s="5" t="s">
        <v>241</v>
      </c>
      <c r="B30" s="5" t="s">
        <v>72</v>
      </c>
      <c r="C30" s="5" t="s">
        <v>99</v>
      </c>
      <c r="D30" s="5">
        <v>22</v>
      </c>
      <c r="E30" s="7">
        <v>37428</v>
      </c>
      <c r="F30" s="5" t="s">
        <v>178</v>
      </c>
      <c r="G30" s="5" t="s">
        <v>72</v>
      </c>
      <c r="H30" s="5" t="s">
        <v>179</v>
      </c>
      <c r="I30" s="5" t="s">
        <v>4</v>
      </c>
      <c r="J30" s="5" t="s">
        <v>427</v>
      </c>
      <c r="K30" s="5" t="str" cm="1">
        <f t="array" ref="K30">_xlfn.SWITCH(_xlfn.TEXTAFTER(L30," of "),
  "Business","BB",
  "IT","BT",
  "Nursing","BN",
  "Engineering","BE",
  "")</f>
        <v>BE</v>
      </c>
      <c r="L30" s="5" t="s">
        <v>200</v>
      </c>
      <c r="M30" s="10">
        <v>944.69</v>
      </c>
      <c r="N30" s="10">
        <v>421.83</v>
      </c>
      <c r="O30" s="5">
        <v>2</v>
      </c>
      <c r="P30" s="13">
        <v>288</v>
      </c>
      <c r="Q30" s="5" t="s">
        <v>198</v>
      </c>
      <c r="R30" s="5" t="s">
        <v>9</v>
      </c>
      <c r="S30" s="5" t="s">
        <v>6</v>
      </c>
      <c r="T30" s="5" t="s">
        <v>279</v>
      </c>
      <c r="U30" s="7">
        <f t="shared" si="0"/>
        <v>45363</v>
      </c>
      <c r="V30" s="7">
        <v>46458</v>
      </c>
      <c r="W30" s="5" t="s">
        <v>251</v>
      </c>
      <c r="X30" s="5" t="s">
        <v>183</v>
      </c>
      <c r="Y30" s="5" t="s">
        <v>7</v>
      </c>
      <c r="Z30" s="5" t="s">
        <v>7</v>
      </c>
      <c r="AA30" s="7">
        <v>45211</v>
      </c>
      <c r="AB30" s="5" t="str">
        <f t="shared" si="1"/>
        <v>T1</v>
      </c>
      <c r="AC30" s="13">
        <f t="shared" si="2"/>
        <v>2024</v>
      </c>
    </row>
    <row r="31" spans="1:29" x14ac:dyDescent="0.45">
      <c r="A31" s="5" t="s">
        <v>242</v>
      </c>
      <c r="B31" s="5" t="s">
        <v>63</v>
      </c>
      <c r="C31" s="5" t="s">
        <v>99</v>
      </c>
      <c r="D31" s="5">
        <v>20</v>
      </c>
      <c r="E31" s="7">
        <v>38301</v>
      </c>
      <c r="F31" s="5" t="s">
        <v>216</v>
      </c>
      <c r="G31" s="5" t="s">
        <v>63</v>
      </c>
      <c r="H31" s="5" t="s">
        <v>20</v>
      </c>
      <c r="I31" s="5" t="s">
        <v>202</v>
      </c>
      <c r="J31" s="5" t="s">
        <v>427</v>
      </c>
      <c r="K31" s="5" t="str" cm="1">
        <f t="array" ref="K31">_xlfn.SWITCH(_xlfn.TEXTAFTER(L31," of "),
  "Business","BB",
  "IT","BT",
  "Nursing","BN",
  "Engineering","BE",
  "")</f>
        <v>BE</v>
      </c>
      <c r="L31" s="5" t="s">
        <v>200</v>
      </c>
      <c r="M31" s="10">
        <v>1029.29</v>
      </c>
      <c r="N31" s="10">
        <v>683.9</v>
      </c>
      <c r="O31" s="5">
        <v>1</v>
      </c>
      <c r="P31" s="13">
        <v>654</v>
      </c>
      <c r="Q31" s="5" t="s">
        <v>186</v>
      </c>
      <c r="R31" s="5" t="s">
        <v>9</v>
      </c>
      <c r="S31" s="5" t="s">
        <v>18</v>
      </c>
      <c r="T31" s="5" t="s">
        <v>282</v>
      </c>
      <c r="U31" s="7">
        <f t="shared" si="0"/>
        <v>45732</v>
      </c>
      <c r="V31" s="7">
        <v>46828</v>
      </c>
      <c r="W31" s="5" t="s">
        <v>251</v>
      </c>
      <c r="X31" s="5" t="s">
        <v>183</v>
      </c>
      <c r="Y31" s="5" t="s">
        <v>7</v>
      </c>
      <c r="Z31" s="5" t="s">
        <v>17</v>
      </c>
      <c r="AA31" s="7">
        <v>45284</v>
      </c>
      <c r="AB31" s="5" t="str">
        <f t="shared" si="1"/>
        <v>T1</v>
      </c>
      <c r="AC31" s="13">
        <f t="shared" si="2"/>
        <v>2025</v>
      </c>
    </row>
    <row r="32" spans="1:29" x14ac:dyDescent="0.45">
      <c r="A32" s="5" t="s">
        <v>244</v>
      </c>
      <c r="B32" s="5" t="s">
        <v>113</v>
      </c>
      <c r="C32" s="5" t="s">
        <v>42</v>
      </c>
      <c r="D32" s="5">
        <v>22</v>
      </c>
      <c r="E32" s="7">
        <v>37416</v>
      </c>
      <c r="F32" s="5" t="s">
        <v>189</v>
      </c>
      <c r="G32" s="5" t="s">
        <v>113</v>
      </c>
      <c r="H32" s="5" t="s">
        <v>179</v>
      </c>
      <c r="I32" s="5" t="s">
        <v>4</v>
      </c>
      <c r="J32" s="5" t="s">
        <v>427</v>
      </c>
      <c r="K32" s="5" t="str" cm="1">
        <f t="array" ref="K32">_xlfn.SWITCH(_xlfn.TEXTAFTER(L32," of "),
  "Business","BB",
  "IT","BT",
  "Nursing","BN",
  "Engineering","BE",
  "")</f>
        <v>BT</v>
      </c>
      <c r="L32" s="5" t="s">
        <v>185</v>
      </c>
      <c r="M32" s="10">
        <v>987.2</v>
      </c>
      <c r="N32" s="10">
        <v>470.66</v>
      </c>
      <c r="O32" s="5">
        <v>1</v>
      </c>
      <c r="P32" s="13">
        <v>267</v>
      </c>
      <c r="Q32" s="5" t="s">
        <v>193</v>
      </c>
      <c r="R32" s="5" t="s">
        <v>30</v>
      </c>
      <c r="S32" s="5" t="s">
        <v>6</v>
      </c>
      <c r="T32" s="5" t="s">
        <v>284</v>
      </c>
      <c r="U32" s="7">
        <f t="shared" si="0"/>
        <v>45477</v>
      </c>
      <c r="V32" s="7">
        <v>46572</v>
      </c>
      <c r="W32" s="5" t="s">
        <v>251</v>
      </c>
      <c r="X32" s="5" t="s">
        <v>12</v>
      </c>
      <c r="Y32" s="5" t="s">
        <v>7</v>
      </c>
      <c r="Z32" s="5" t="s">
        <v>7</v>
      </c>
      <c r="AA32" s="7">
        <v>45369</v>
      </c>
      <c r="AB32" s="5" t="str">
        <f t="shared" si="1"/>
        <v>T2</v>
      </c>
      <c r="AC32" s="13">
        <f t="shared" si="2"/>
        <v>2024</v>
      </c>
    </row>
    <row r="33" spans="1:29" x14ac:dyDescent="0.45">
      <c r="A33" s="5" t="s">
        <v>246</v>
      </c>
      <c r="B33" s="5" t="s">
        <v>174</v>
      </c>
      <c r="C33" s="5" t="s">
        <v>138</v>
      </c>
      <c r="D33" s="5">
        <v>20</v>
      </c>
      <c r="E33" s="7">
        <v>38219</v>
      </c>
      <c r="F33" s="5" t="s">
        <v>216</v>
      </c>
      <c r="G33" s="5" t="s">
        <v>174</v>
      </c>
      <c r="H33" s="5" t="s">
        <v>8</v>
      </c>
      <c r="I33" s="5" t="s">
        <v>4</v>
      </c>
      <c r="J33" s="5" t="s">
        <v>427</v>
      </c>
      <c r="K33" s="5" t="str" cm="1">
        <f t="array" ref="K33">_xlfn.SWITCH(_xlfn.TEXTAFTER(L33," of "),
  "Business","BB",
  "IT","BT",
  "Nursing","BN",
  "Engineering","BE",
  "")</f>
        <v>BT</v>
      </c>
      <c r="L33" s="5" t="s">
        <v>185</v>
      </c>
      <c r="M33" s="10">
        <v>1021.06</v>
      </c>
      <c r="N33" s="10">
        <v>833.5</v>
      </c>
      <c r="O33" s="5">
        <v>1</v>
      </c>
      <c r="P33" s="13">
        <v>422</v>
      </c>
      <c r="Q33" s="5" t="s">
        <v>186</v>
      </c>
      <c r="R33" s="5" t="s">
        <v>30</v>
      </c>
      <c r="S33" s="5" t="s">
        <v>6</v>
      </c>
      <c r="T33" s="5" t="s">
        <v>286</v>
      </c>
      <c r="U33" s="7">
        <f t="shared" si="0"/>
        <v>45645</v>
      </c>
      <c r="V33" s="7">
        <v>46740</v>
      </c>
      <c r="W33" s="5" t="s">
        <v>251</v>
      </c>
      <c r="X33" s="5" t="s">
        <v>12</v>
      </c>
      <c r="Y33" s="5" t="s">
        <v>7</v>
      </c>
      <c r="Z33" s="5" t="s">
        <v>17</v>
      </c>
      <c r="AA33" s="7">
        <v>45018</v>
      </c>
      <c r="AB33" s="5" t="str">
        <f t="shared" si="1"/>
        <v>T3</v>
      </c>
      <c r="AC33" s="13">
        <f t="shared" si="2"/>
        <v>2024</v>
      </c>
    </row>
    <row r="34" spans="1:29" x14ac:dyDescent="0.45">
      <c r="A34" s="5" t="s">
        <v>247</v>
      </c>
      <c r="B34" s="5" t="s">
        <v>152</v>
      </c>
      <c r="C34" s="5" t="s">
        <v>104</v>
      </c>
      <c r="D34" s="5">
        <v>20</v>
      </c>
      <c r="E34" s="7">
        <v>38099</v>
      </c>
      <c r="F34" s="5" t="s">
        <v>189</v>
      </c>
      <c r="G34" s="5" t="s">
        <v>152</v>
      </c>
      <c r="H34" s="5" t="s">
        <v>8</v>
      </c>
      <c r="I34" s="5" t="s">
        <v>4</v>
      </c>
      <c r="J34" s="5" t="s">
        <v>427</v>
      </c>
      <c r="K34" s="5" t="str" cm="1">
        <f t="array" ref="K34">_xlfn.SWITCH(_xlfn.TEXTAFTER(L34," of "),
  "Business","BB",
  "IT","BT",
  "Nursing","BN",
  "Engineering","BE",
  "")</f>
        <v>BB</v>
      </c>
      <c r="L34" s="5" t="s">
        <v>180</v>
      </c>
      <c r="M34" s="10">
        <v>874.92</v>
      </c>
      <c r="N34" s="10">
        <v>578.74</v>
      </c>
      <c r="O34" s="5">
        <v>1</v>
      </c>
      <c r="P34" s="13">
        <v>32</v>
      </c>
      <c r="Q34" s="5" t="s">
        <v>198</v>
      </c>
      <c r="R34" s="5" t="s">
        <v>30</v>
      </c>
      <c r="S34" s="5" t="s">
        <v>13</v>
      </c>
      <c r="T34" s="5" t="s">
        <v>288</v>
      </c>
      <c r="U34" s="7">
        <f>EDATE(V34,-36)</f>
        <v>45119</v>
      </c>
      <c r="V34" s="7">
        <v>46215</v>
      </c>
      <c r="W34" s="5" t="s">
        <v>251</v>
      </c>
      <c r="X34" s="5" t="s">
        <v>29</v>
      </c>
      <c r="Y34" s="5" t="s">
        <v>7</v>
      </c>
      <c r="Z34" s="5" t="s">
        <v>7</v>
      </c>
      <c r="AA34" s="7">
        <v>45003</v>
      </c>
      <c r="AB34" s="5" t="str">
        <f t="shared" si="1"/>
        <v>T2</v>
      </c>
      <c r="AC34" s="13">
        <f t="shared" si="2"/>
        <v>2023</v>
      </c>
    </row>
    <row r="35" spans="1:29" x14ac:dyDescent="0.45">
      <c r="A35" s="5" t="s">
        <v>248</v>
      </c>
      <c r="B35" s="5" t="s">
        <v>175</v>
      </c>
      <c r="C35" s="5" t="s">
        <v>156</v>
      </c>
      <c r="D35" s="5">
        <v>30</v>
      </c>
      <c r="E35" s="7">
        <v>34386</v>
      </c>
      <c r="F35" s="5" t="s">
        <v>178</v>
      </c>
      <c r="G35" s="5" t="s">
        <v>175</v>
      </c>
      <c r="H35" s="5" t="s">
        <v>197</v>
      </c>
      <c r="I35" s="5" t="s">
        <v>4</v>
      </c>
      <c r="J35" s="5" t="s">
        <v>427</v>
      </c>
      <c r="K35" s="5" t="str" cm="1">
        <f t="array" ref="K35">_xlfn.SWITCH(_xlfn.TEXTAFTER(L35," of "),
  "Business","BB",
  "IT","BT",
  "Nursing","BN",
  "Engineering","BE",
  "")</f>
        <v>BN</v>
      </c>
      <c r="L35" s="5" t="s">
        <v>192</v>
      </c>
      <c r="M35" s="10">
        <v>1077.2</v>
      </c>
      <c r="N35" s="10">
        <v>599.02</v>
      </c>
      <c r="O35" s="5">
        <v>1</v>
      </c>
      <c r="P35" s="13"/>
      <c r="Q35" s="5" t="s">
        <v>198</v>
      </c>
      <c r="R35" s="5" t="s">
        <v>30</v>
      </c>
      <c r="S35" s="5" t="s">
        <v>249</v>
      </c>
      <c r="T35" s="5" t="s">
        <v>290</v>
      </c>
      <c r="U35" s="7">
        <f t="shared" si="0"/>
        <v>45494</v>
      </c>
      <c r="V35" s="7">
        <v>46589</v>
      </c>
      <c r="W35" s="5" t="s">
        <v>251</v>
      </c>
      <c r="X35" s="5" t="s">
        <v>12</v>
      </c>
      <c r="Y35" s="5" t="s">
        <v>7</v>
      </c>
      <c r="Z35" s="5" t="s">
        <v>7</v>
      </c>
      <c r="AA35" s="7">
        <v>45356</v>
      </c>
      <c r="AB35" s="5" t="str">
        <f t="shared" si="1"/>
        <v>T2</v>
      </c>
      <c r="AC35" s="13">
        <f t="shared" si="2"/>
        <v>2024</v>
      </c>
    </row>
    <row r="36" spans="1:29" x14ac:dyDescent="0.45">
      <c r="A36" s="5" t="s">
        <v>252</v>
      </c>
      <c r="B36" s="5" t="s">
        <v>109</v>
      </c>
      <c r="C36" s="5" t="s">
        <v>80</v>
      </c>
      <c r="D36" s="5">
        <v>33</v>
      </c>
      <c r="E36" s="7">
        <v>33533</v>
      </c>
      <c r="F36" s="5" t="s">
        <v>189</v>
      </c>
      <c r="G36" s="5" t="s">
        <v>109</v>
      </c>
      <c r="H36" s="5" t="s">
        <v>16</v>
      </c>
      <c r="I36" s="5" t="s">
        <v>4</v>
      </c>
      <c r="J36" s="5" t="s">
        <v>427</v>
      </c>
      <c r="K36" s="5" t="str" cm="1">
        <f t="array" ref="K36">_xlfn.SWITCH(_xlfn.TEXTAFTER(L36," of "),
  "Business","BB",
  "IT","BT",
  "Nursing","BN",
  "Engineering","BE",
  "")</f>
        <v>BN</v>
      </c>
      <c r="L36" s="5" t="s">
        <v>192</v>
      </c>
      <c r="M36" s="10">
        <v>1094.6400000000001</v>
      </c>
      <c r="N36" s="10">
        <v>728.93</v>
      </c>
      <c r="O36" s="5">
        <v>1</v>
      </c>
      <c r="P36" s="13">
        <v>816</v>
      </c>
      <c r="Q36" s="5" t="s">
        <v>186</v>
      </c>
      <c r="R36" s="5" t="s">
        <v>30</v>
      </c>
      <c r="S36" s="5" t="s">
        <v>208</v>
      </c>
      <c r="T36" s="5" t="s">
        <v>292</v>
      </c>
      <c r="U36" s="7">
        <f t="shared" si="0"/>
        <v>45721</v>
      </c>
      <c r="V36" s="7">
        <v>46817</v>
      </c>
      <c r="W36" s="5" t="s">
        <v>251</v>
      </c>
      <c r="X36" s="5" t="s">
        <v>183</v>
      </c>
      <c r="Y36" s="5" t="s">
        <v>7</v>
      </c>
      <c r="Z36" s="5" t="s">
        <v>7</v>
      </c>
      <c r="AA36" s="7">
        <v>45378</v>
      </c>
      <c r="AB36" s="5" t="str">
        <f t="shared" si="1"/>
        <v>T1</v>
      </c>
      <c r="AC36" s="13">
        <f t="shared" si="2"/>
        <v>2025</v>
      </c>
    </row>
    <row r="37" spans="1:29" x14ac:dyDescent="0.45">
      <c r="A37" s="5" t="s">
        <v>254</v>
      </c>
      <c r="B37" s="5" t="s">
        <v>125</v>
      </c>
      <c r="C37" s="5" t="s">
        <v>84</v>
      </c>
      <c r="D37" s="5">
        <v>26</v>
      </c>
      <c r="E37" s="7">
        <v>35908</v>
      </c>
      <c r="F37" s="5" t="s">
        <v>189</v>
      </c>
      <c r="G37" s="5" t="s">
        <v>125</v>
      </c>
      <c r="H37" s="5" t="s">
        <v>16</v>
      </c>
      <c r="I37" s="5" t="s">
        <v>23</v>
      </c>
      <c r="J37" s="5" t="s">
        <v>427</v>
      </c>
      <c r="K37" s="5" t="str" cm="1">
        <f t="array" ref="K37">_xlfn.SWITCH(_xlfn.TEXTAFTER(L37," of "),
  "Business","BB",
  "IT","BT",
  "Nursing","BN",
  "Engineering","BE",
  "")</f>
        <v>BT</v>
      </c>
      <c r="L37" s="5" t="s">
        <v>185</v>
      </c>
      <c r="M37" s="10">
        <v>902.8</v>
      </c>
      <c r="N37" s="10">
        <v>370.38</v>
      </c>
      <c r="O37" s="5">
        <v>1</v>
      </c>
      <c r="P37" s="13">
        <v>790</v>
      </c>
      <c r="Q37" s="5" t="s">
        <v>198</v>
      </c>
      <c r="R37" s="5" t="s">
        <v>30</v>
      </c>
      <c r="S37" s="5" t="s">
        <v>18</v>
      </c>
      <c r="T37" s="5" t="s">
        <v>294</v>
      </c>
      <c r="U37" s="7">
        <f t="shared" si="0"/>
        <v>45721</v>
      </c>
      <c r="V37" s="7">
        <v>46817</v>
      </c>
      <c r="W37" s="5" t="s">
        <v>251</v>
      </c>
      <c r="X37" s="5" t="s">
        <v>183</v>
      </c>
      <c r="Y37" s="5" t="s">
        <v>7</v>
      </c>
      <c r="Z37" s="5" t="s">
        <v>7</v>
      </c>
      <c r="AA37" s="7">
        <v>45530</v>
      </c>
      <c r="AB37" s="5" t="str">
        <f t="shared" si="1"/>
        <v>T1</v>
      </c>
      <c r="AC37" s="13">
        <f t="shared" si="2"/>
        <v>2025</v>
      </c>
    </row>
    <row r="38" spans="1:29" x14ac:dyDescent="0.45">
      <c r="A38" s="5" t="s">
        <v>256</v>
      </c>
      <c r="B38" s="5" t="s">
        <v>110</v>
      </c>
      <c r="C38" s="5" t="s">
        <v>41</v>
      </c>
      <c r="D38" s="5">
        <v>17</v>
      </c>
      <c r="E38" s="7">
        <v>39195</v>
      </c>
      <c r="F38" s="5" t="s">
        <v>178</v>
      </c>
      <c r="G38" s="5" t="s">
        <v>110</v>
      </c>
      <c r="H38" s="5" t="s">
        <v>197</v>
      </c>
      <c r="I38" s="5" t="s">
        <v>4</v>
      </c>
      <c r="J38" s="5" t="s">
        <v>427</v>
      </c>
      <c r="K38" s="5" t="str" cm="1">
        <f t="array" ref="K38">_xlfn.SWITCH(_xlfn.TEXTAFTER(L38," of "),
  "Business","BB",
  "IT","BT",
  "Nursing","BN",
  "Engineering","BE",
  "")</f>
        <v>BN</v>
      </c>
      <c r="L38" s="5" t="s">
        <v>192</v>
      </c>
      <c r="M38" s="10">
        <v>1034.8699999999999</v>
      </c>
      <c r="N38" s="10">
        <v>860.34</v>
      </c>
      <c r="O38" s="5">
        <v>1</v>
      </c>
      <c r="P38" s="13">
        <v>523</v>
      </c>
      <c r="Q38" s="5" t="s">
        <v>198</v>
      </c>
      <c r="R38" s="5" t="s">
        <v>30</v>
      </c>
      <c r="S38" s="5" t="s">
        <v>235</v>
      </c>
      <c r="T38" s="5" t="s">
        <v>300</v>
      </c>
      <c r="U38" s="7">
        <f t="shared" si="0"/>
        <v>45504</v>
      </c>
      <c r="V38" s="7">
        <v>46599</v>
      </c>
      <c r="W38" s="5" t="s">
        <v>251</v>
      </c>
      <c r="X38" s="5" t="s">
        <v>12</v>
      </c>
      <c r="Y38" s="5" t="s">
        <v>17</v>
      </c>
      <c r="Z38" s="5" t="s">
        <v>7</v>
      </c>
      <c r="AA38" s="7">
        <v>45196</v>
      </c>
      <c r="AB38" s="5" t="str">
        <f t="shared" si="1"/>
        <v>T2</v>
      </c>
      <c r="AC38" s="13">
        <f t="shared" si="2"/>
        <v>2024</v>
      </c>
    </row>
    <row r="39" spans="1:29" x14ac:dyDescent="0.45">
      <c r="A39" s="5" t="s">
        <v>258</v>
      </c>
      <c r="B39" s="5" t="s">
        <v>121</v>
      </c>
      <c r="C39" s="5" t="s">
        <v>98</v>
      </c>
      <c r="D39" s="5">
        <v>20</v>
      </c>
      <c r="E39" s="7">
        <v>38067</v>
      </c>
      <c r="F39" s="5" t="s">
        <v>178</v>
      </c>
      <c r="G39" s="5" t="s">
        <v>121</v>
      </c>
      <c r="H39" s="5" t="s">
        <v>8</v>
      </c>
      <c r="I39" s="5" t="s">
        <v>4</v>
      </c>
      <c r="J39" s="5" t="s">
        <v>427</v>
      </c>
      <c r="K39" s="5" t="str" cm="1">
        <f t="array" ref="K39">_xlfn.SWITCH(_xlfn.TEXTAFTER(L39," of "),
  "Business","BB",
  "IT","BT",
  "Nursing","BN",
  "Engineering","BE",
  "")</f>
        <v>BT</v>
      </c>
      <c r="L39" s="5" t="s">
        <v>185</v>
      </c>
      <c r="M39" s="10">
        <v>946.31</v>
      </c>
      <c r="N39" s="10">
        <v>583.91</v>
      </c>
      <c r="O39" s="5">
        <v>1</v>
      </c>
      <c r="P39" s="13">
        <v>203</v>
      </c>
      <c r="Q39" s="5" t="s">
        <v>181</v>
      </c>
      <c r="R39" s="5" t="s">
        <v>30</v>
      </c>
      <c r="S39" s="5" t="s">
        <v>13</v>
      </c>
      <c r="T39" s="5" t="s">
        <v>303</v>
      </c>
      <c r="U39" s="7">
        <f t="shared" si="0"/>
        <v>45504</v>
      </c>
      <c r="V39" s="7">
        <v>46599</v>
      </c>
      <c r="W39" s="5" t="s">
        <v>425</v>
      </c>
      <c r="X39" s="5" t="s">
        <v>183</v>
      </c>
      <c r="Y39" s="5" t="s">
        <v>7</v>
      </c>
      <c r="Z39" s="5" t="s">
        <v>7</v>
      </c>
      <c r="AA39" s="7">
        <v>45341</v>
      </c>
      <c r="AB39" s="5" t="str">
        <f t="shared" si="1"/>
        <v>T2</v>
      </c>
      <c r="AC39" s="13">
        <f t="shared" si="2"/>
        <v>2024</v>
      </c>
    </row>
    <row r="40" spans="1:29" x14ac:dyDescent="0.45">
      <c r="A40" s="5" t="s">
        <v>259</v>
      </c>
      <c r="B40" s="5" t="s">
        <v>146</v>
      </c>
      <c r="C40" s="5" t="s">
        <v>116</v>
      </c>
      <c r="D40" s="5">
        <v>23</v>
      </c>
      <c r="E40" s="7">
        <v>37004</v>
      </c>
      <c r="F40" s="5" t="s">
        <v>178</v>
      </c>
      <c r="G40" s="5" t="s">
        <v>146</v>
      </c>
      <c r="H40" s="5" t="s">
        <v>10</v>
      </c>
      <c r="I40" s="5" t="s">
        <v>240</v>
      </c>
      <c r="J40" s="5" t="s">
        <v>427</v>
      </c>
      <c r="K40" s="5" t="str" cm="1">
        <f t="array" ref="K40">_xlfn.SWITCH(_xlfn.TEXTAFTER(L40," of "),
  "Business","BB",
  "IT","BT",
  "Nursing","BN",
  "Engineering","BE",
  "")</f>
        <v>BT</v>
      </c>
      <c r="L40" s="5" t="s">
        <v>185</v>
      </c>
      <c r="M40" s="10">
        <v>908.49</v>
      </c>
      <c r="N40" s="10">
        <v>683.39</v>
      </c>
      <c r="O40" s="5">
        <v>1</v>
      </c>
      <c r="P40" s="13">
        <v>549</v>
      </c>
      <c r="Q40" s="5" t="s">
        <v>181</v>
      </c>
      <c r="R40" s="5" t="s">
        <v>30</v>
      </c>
      <c r="S40" s="5" t="s">
        <v>18</v>
      </c>
      <c r="T40" s="5" t="s">
        <v>305</v>
      </c>
      <c r="U40" s="7">
        <f t="shared" si="0"/>
        <v>45645</v>
      </c>
      <c r="V40" s="7">
        <v>46740</v>
      </c>
      <c r="W40" s="5" t="s">
        <v>425</v>
      </c>
      <c r="X40" s="5" t="s">
        <v>12</v>
      </c>
      <c r="Y40" s="5" t="s">
        <v>7</v>
      </c>
      <c r="Z40" s="5" t="s">
        <v>7</v>
      </c>
      <c r="AA40" s="7">
        <v>45211</v>
      </c>
      <c r="AB40" s="5" t="str">
        <f t="shared" si="1"/>
        <v>T3</v>
      </c>
      <c r="AC40" s="13">
        <f t="shared" si="2"/>
        <v>2024</v>
      </c>
    </row>
    <row r="41" spans="1:29" x14ac:dyDescent="0.45">
      <c r="A41" s="5" t="s">
        <v>260</v>
      </c>
      <c r="B41" s="5" t="s">
        <v>25</v>
      </c>
      <c r="C41" s="5" t="s">
        <v>44</v>
      </c>
      <c r="D41" s="5">
        <v>18</v>
      </c>
      <c r="E41" s="7">
        <v>38847</v>
      </c>
      <c r="F41" s="5" t="s">
        <v>216</v>
      </c>
      <c r="G41" s="5" t="s">
        <v>25</v>
      </c>
      <c r="H41" s="5" t="s">
        <v>197</v>
      </c>
      <c r="I41" s="5" t="s">
        <v>191</v>
      </c>
      <c r="J41" s="5" t="s">
        <v>427</v>
      </c>
      <c r="K41" s="5" t="str" cm="1">
        <f t="array" ref="K41">_xlfn.SWITCH(_xlfn.TEXTAFTER(L41," of "),
  "Business","BB",
  "IT","BT",
  "Nursing","BN",
  "Engineering","BE",
  "")</f>
        <v>BN</v>
      </c>
      <c r="L41" s="5" t="s">
        <v>192</v>
      </c>
      <c r="M41" s="10">
        <v>1129.8900000000001</v>
      </c>
      <c r="N41" s="10">
        <v>494.02</v>
      </c>
      <c r="O41" s="5">
        <v>2</v>
      </c>
      <c r="P41" s="13">
        <v>741</v>
      </c>
      <c r="Q41" s="5" t="s">
        <v>198</v>
      </c>
      <c r="R41" s="5" t="s">
        <v>30</v>
      </c>
      <c r="S41" s="5" t="s">
        <v>235</v>
      </c>
      <c r="T41" s="5" t="s">
        <v>307</v>
      </c>
      <c r="U41" s="7">
        <f t="shared" si="0"/>
        <v>45854</v>
      </c>
      <c r="V41" s="7">
        <v>46950</v>
      </c>
      <c r="W41" s="5" t="s">
        <v>425</v>
      </c>
      <c r="X41" s="5" t="s">
        <v>183</v>
      </c>
      <c r="Y41" s="5" t="s">
        <v>7</v>
      </c>
      <c r="Z41" s="5" t="s">
        <v>17</v>
      </c>
      <c r="AA41" s="7">
        <v>45003</v>
      </c>
      <c r="AB41" s="5" t="str">
        <f t="shared" si="1"/>
        <v>T2</v>
      </c>
      <c r="AC41" s="13">
        <f t="shared" si="2"/>
        <v>2025</v>
      </c>
    </row>
    <row r="42" spans="1:29" x14ac:dyDescent="0.45">
      <c r="A42" s="5" t="s">
        <v>262</v>
      </c>
      <c r="B42" s="5" t="s">
        <v>75</v>
      </c>
      <c r="C42" s="5" t="s">
        <v>15</v>
      </c>
      <c r="D42" s="5">
        <v>20</v>
      </c>
      <c r="E42" s="7">
        <v>38040</v>
      </c>
      <c r="F42" s="5" t="s">
        <v>178</v>
      </c>
      <c r="G42" s="5" t="s">
        <v>75</v>
      </c>
      <c r="H42" s="5" t="s">
        <v>8</v>
      </c>
      <c r="I42" s="5" t="s">
        <v>4</v>
      </c>
      <c r="J42" s="5" t="s">
        <v>427</v>
      </c>
      <c r="K42" s="5" t="str" cm="1">
        <f t="array" ref="K42">_xlfn.SWITCH(_xlfn.TEXTAFTER(L42," of "),
  "Business","BB",
  "IT","BT",
  "Nursing","BN",
  "Engineering","BE",
  "")</f>
        <v>BE</v>
      </c>
      <c r="L42" s="5" t="s">
        <v>200</v>
      </c>
      <c r="M42" s="10">
        <v>989.94</v>
      </c>
      <c r="N42" s="10">
        <v>612.77</v>
      </c>
      <c r="O42" s="5">
        <v>1</v>
      </c>
      <c r="P42" s="13">
        <v>468</v>
      </c>
      <c r="Q42" s="5" t="s">
        <v>186</v>
      </c>
      <c r="R42" s="5" t="s">
        <v>30</v>
      </c>
      <c r="S42" s="5" t="s">
        <v>18</v>
      </c>
      <c r="T42" s="5" t="s">
        <v>309</v>
      </c>
      <c r="U42" s="7">
        <f t="shared" si="0"/>
        <v>45721</v>
      </c>
      <c r="V42" s="7">
        <v>46817</v>
      </c>
      <c r="W42" s="5" t="s">
        <v>425</v>
      </c>
      <c r="X42" s="5" t="s">
        <v>12</v>
      </c>
      <c r="Y42" s="5" t="s">
        <v>7</v>
      </c>
      <c r="Z42" s="5" t="s">
        <v>7</v>
      </c>
      <c r="AA42" s="7">
        <v>45430</v>
      </c>
      <c r="AB42" s="5" t="str">
        <f t="shared" si="1"/>
        <v>T1</v>
      </c>
      <c r="AC42" s="13">
        <f t="shared" si="2"/>
        <v>2025</v>
      </c>
    </row>
    <row r="43" spans="1:29" x14ac:dyDescent="0.45">
      <c r="A43" s="5" t="s">
        <v>263</v>
      </c>
      <c r="B43" s="5" t="s">
        <v>48</v>
      </c>
      <c r="C43" s="5" t="s">
        <v>36</v>
      </c>
      <c r="D43" s="5">
        <v>23</v>
      </c>
      <c r="E43" s="7">
        <v>37115</v>
      </c>
      <c r="F43" s="5" t="s">
        <v>178</v>
      </c>
      <c r="G43" s="5" t="s">
        <v>48</v>
      </c>
      <c r="H43" s="5" t="s">
        <v>20</v>
      </c>
      <c r="I43" s="5" t="s">
        <v>4</v>
      </c>
      <c r="J43" s="5" t="s">
        <v>427</v>
      </c>
      <c r="K43" s="5" t="str" cm="1">
        <f t="array" ref="K43">_xlfn.SWITCH(_xlfn.TEXTAFTER(L43," of "),
  "Business","BB",
  "IT","BT",
  "Nursing","BN",
  "Engineering","BE",
  "")</f>
        <v>BE</v>
      </c>
      <c r="L43" s="5" t="s">
        <v>200</v>
      </c>
      <c r="M43" s="10">
        <v>1053.23</v>
      </c>
      <c r="N43" s="10">
        <v>653.86</v>
      </c>
      <c r="O43" s="5">
        <v>1</v>
      </c>
      <c r="P43" s="13">
        <v>33</v>
      </c>
      <c r="Q43" s="5" t="s">
        <v>181</v>
      </c>
      <c r="R43" s="5" t="s">
        <v>30</v>
      </c>
      <c r="S43" s="5" t="s">
        <v>6</v>
      </c>
      <c r="T43" s="5" t="s">
        <v>312</v>
      </c>
      <c r="U43" s="7">
        <f t="shared" si="0"/>
        <v>45119</v>
      </c>
      <c r="V43" s="7">
        <v>46215</v>
      </c>
      <c r="W43" s="5" t="s">
        <v>425</v>
      </c>
      <c r="X43" s="5" t="s">
        <v>29</v>
      </c>
      <c r="Y43" s="5" t="s">
        <v>7</v>
      </c>
      <c r="Z43" s="5" t="s">
        <v>7</v>
      </c>
      <c r="AA43" s="7">
        <v>45447</v>
      </c>
      <c r="AB43" s="5" t="str">
        <f t="shared" si="1"/>
        <v>T2</v>
      </c>
      <c r="AC43" s="13">
        <f t="shared" si="2"/>
        <v>2023</v>
      </c>
    </row>
    <row r="44" spans="1:29" x14ac:dyDescent="0.45">
      <c r="A44" s="5" t="s">
        <v>264</v>
      </c>
      <c r="B44" s="5" t="s">
        <v>27</v>
      </c>
      <c r="C44" s="5" t="s">
        <v>38</v>
      </c>
      <c r="D44" s="5">
        <v>17</v>
      </c>
      <c r="E44" s="7">
        <v>39208</v>
      </c>
      <c r="F44" s="5" t="s">
        <v>189</v>
      </c>
      <c r="G44" s="5" t="s">
        <v>27</v>
      </c>
      <c r="H44" s="5" t="s">
        <v>179</v>
      </c>
      <c r="I44" s="5" t="s">
        <v>4</v>
      </c>
      <c r="J44" s="5" t="s">
        <v>427</v>
      </c>
      <c r="K44" s="5" t="str" cm="1">
        <f t="array" ref="K44">_xlfn.SWITCH(_xlfn.TEXTAFTER(L44," of "),
  "Business","BB",
  "IT","BT",
  "Nursing","BN",
  "Engineering","BE",
  "")</f>
        <v>BN</v>
      </c>
      <c r="L44" s="5" t="s">
        <v>192</v>
      </c>
      <c r="M44" s="10">
        <v>1135.25</v>
      </c>
      <c r="N44" s="10">
        <v>933.2</v>
      </c>
      <c r="O44" s="5">
        <v>1</v>
      </c>
      <c r="P44" s="13">
        <v>517</v>
      </c>
      <c r="Q44" s="5" t="s">
        <v>206</v>
      </c>
      <c r="R44" s="5" t="s">
        <v>30</v>
      </c>
      <c r="S44" s="5" t="s">
        <v>18</v>
      </c>
      <c r="T44" s="5" t="s">
        <v>314</v>
      </c>
      <c r="U44" s="7">
        <f t="shared" si="0"/>
        <v>45645</v>
      </c>
      <c r="V44" s="7">
        <v>46740</v>
      </c>
      <c r="W44" s="5" t="s">
        <v>425</v>
      </c>
      <c r="X44" s="5" t="s">
        <v>183</v>
      </c>
      <c r="Y44" s="5" t="s">
        <v>17</v>
      </c>
      <c r="Z44" s="5" t="s">
        <v>7</v>
      </c>
      <c r="AA44" s="7">
        <v>45486</v>
      </c>
      <c r="AB44" s="5" t="str">
        <f t="shared" si="1"/>
        <v>T3</v>
      </c>
      <c r="AC44" s="13">
        <f t="shared" si="2"/>
        <v>2024</v>
      </c>
    </row>
    <row r="45" spans="1:29" x14ac:dyDescent="0.45">
      <c r="A45" s="5" t="s">
        <v>266</v>
      </c>
      <c r="B45" s="5" t="s">
        <v>101</v>
      </c>
      <c r="C45" s="5" t="s">
        <v>49</v>
      </c>
      <c r="D45" s="5">
        <v>31</v>
      </c>
      <c r="E45" s="7">
        <v>34022</v>
      </c>
      <c r="F45" s="5" t="s">
        <v>178</v>
      </c>
      <c r="G45" s="5" t="s">
        <v>101</v>
      </c>
      <c r="H45" s="5" t="s">
        <v>179</v>
      </c>
      <c r="I45" s="5" t="s">
        <v>4</v>
      </c>
      <c r="J45" s="5" t="s">
        <v>427</v>
      </c>
      <c r="K45" s="5" t="str" cm="1">
        <f t="array" ref="K45">_xlfn.SWITCH(_xlfn.TEXTAFTER(L45," of "),
  "Business","BB",
  "IT","BT",
  "Nursing","BN",
  "Engineering","BE",
  "")</f>
        <v>BN</v>
      </c>
      <c r="L45" s="5" t="s">
        <v>192</v>
      </c>
      <c r="M45" s="10">
        <v>1066.98</v>
      </c>
      <c r="N45" s="10">
        <v>701.3</v>
      </c>
      <c r="O45" s="5">
        <v>1</v>
      </c>
      <c r="P45" s="13">
        <v>272</v>
      </c>
      <c r="Q45" s="5" t="s">
        <v>198</v>
      </c>
      <c r="R45" s="5" t="s">
        <v>30</v>
      </c>
      <c r="S45" s="5" t="s">
        <v>6</v>
      </c>
      <c r="T45" s="5" t="s">
        <v>317</v>
      </c>
      <c r="U45" s="7">
        <f t="shared" si="0"/>
        <v>45477</v>
      </c>
      <c r="V45" s="7">
        <v>46572</v>
      </c>
      <c r="W45" s="5" t="s">
        <v>425</v>
      </c>
      <c r="X45" s="5" t="s">
        <v>12</v>
      </c>
      <c r="Y45" s="5" t="s">
        <v>7</v>
      </c>
      <c r="Z45" s="5" t="s">
        <v>7</v>
      </c>
      <c r="AA45" s="7">
        <v>45057</v>
      </c>
      <c r="AB45" s="5" t="str">
        <f t="shared" si="1"/>
        <v>T2</v>
      </c>
      <c r="AC45" s="13">
        <f t="shared" si="2"/>
        <v>2024</v>
      </c>
    </row>
    <row r="46" spans="1:29" x14ac:dyDescent="0.45">
      <c r="A46" s="5" t="s">
        <v>268</v>
      </c>
      <c r="B46" s="5" t="s">
        <v>161</v>
      </c>
      <c r="C46" s="5" t="s">
        <v>85</v>
      </c>
      <c r="D46" s="5">
        <v>20</v>
      </c>
      <c r="E46" s="7">
        <v>38204</v>
      </c>
      <c r="F46" s="5" t="s">
        <v>178</v>
      </c>
      <c r="G46" s="5" t="s">
        <v>161</v>
      </c>
      <c r="H46" s="5" t="s">
        <v>197</v>
      </c>
      <c r="I46" s="5" t="s">
        <v>191</v>
      </c>
      <c r="J46" s="5" t="s">
        <v>427</v>
      </c>
      <c r="K46" s="5" t="str" cm="1">
        <f t="array" ref="K46">_xlfn.SWITCH(_xlfn.TEXTAFTER(L46," of "),
  "Business","BB",
  "IT","BT",
  "Nursing","BN",
  "Engineering","BE",
  "")</f>
        <v>BT</v>
      </c>
      <c r="L46" s="5" t="s">
        <v>185</v>
      </c>
      <c r="M46" s="10">
        <v>1000.5</v>
      </c>
      <c r="N46" s="10">
        <v>613.38</v>
      </c>
      <c r="O46" s="5">
        <v>1</v>
      </c>
      <c r="P46" s="13">
        <v>423</v>
      </c>
      <c r="Q46" s="5" t="s">
        <v>198</v>
      </c>
      <c r="R46" s="5" t="s">
        <v>24</v>
      </c>
      <c r="S46" s="5" t="s">
        <v>6</v>
      </c>
      <c r="T46" s="5" t="s">
        <v>319</v>
      </c>
      <c r="U46" s="7">
        <f t="shared" si="0"/>
        <v>45645</v>
      </c>
      <c r="V46" s="7">
        <v>46740</v>
      </c>
      <c r="W46" s="5" t="s">
        <v>425</v>
      </c>
      <c r="X46" s="5" t="s">
        <v>183</v>
      </c>
      <c r="Y46" s="5" t="s">
        <v>7</v>
      </c>
      <c r="Z46" s="5" t="s">
        <v>17</v>
      </c>
      <c r="AA46" s="7">
        <v>45539</v>
      </c>
      <c r="AB46" s="5" t="str">
        <f t="shared" si="1"/>
        <v>T3</v>
      </c>
      <c r="AC46" s="13">
        <f t="shared" si="2"/>
        <v>2024</v>
      </c>
    </row>
    <row r="47" spans="1:29" x14ac:dyDescent="0.45">
      <c r="A47" s="5" t="s">
        <v>269</v>
      </c>
      <c r="B47" s="5" t="s">
        <v>123</v>
      </c>
      <c r="C47" s="5" t="s">
        <v>87</v>
      </c>
      <c r="D47" s="5">
        <v>24</v>
      </c>
      <c r="E47" s="7">
        <v>36723</v>
      </c>
      <c r="F47" s="5" t="s">
        <v>178</v>
      </c>
      <c r="G47" s="5" t="s">
        <v>123</v>
      </c>
      <c r="H47" s="5" t="s">
        <v>197</v>
      </c>
      <c r="I47" s="5" t="s">
        <v>4</v>
      </c>
      <c r="J47" s="5" t="s">
        <v>427</v>
      </c>
      <c r="K47" s="5" t="str" cm="1">
        <f t="array" ref="K47">_xlfn.SWITCH(_xlfn.TEXTAFTER(L47," of "),
  "Business","BB",
  "IT","BT",
  "Nursing","BN",
  "Engineering","BE",
  "")</f>
        <v>BE</v>
      </c>
      <c r="L47" s="5" t="s">
        <v>200</v>
      </c>
      <c r="M47" s="10">
        <v>1048.76</v>
      </c>
      <c r="N47" s="10">
        <v>545.5</v>
      </c>
      <c r="O47" s="5">
        <v>1</v>
      </c>
      <c r="P47" s="13">
        <v>308</v>
      </c>
      <c r="Q47" s="5" t="s">
        <v>181</v>
      </c>
      <c r="R47" s="5" t="s">
        <v>24</v>
      </c>
      <c r="S47" s="5" t="s">
        <v>6</v>
      </c>
      <c r="T47" s="5" t="s">
        <v>321</v>
      </c>
      <c r="U47" s="7">
        <f t="shared" si="0"/>
        <v>45477</v>
      </c>
      <c r="V47" s="7">
        <v>46572</v>
      </c>
      <c r="W47" s="5" t="s">
        <v>425</v>
      </c>
      <c r="X47" s="5" t="s">
        <v>12</v>
      </c>
      <c r="Y47" s="5" t="s">
        <v>7</v>
      </c>
      <c r="Z47" s="5" t="s">
        <v>7</v>
      </c>
      <c r="AA47" s="7">
        <v>45515</v>
      </c>
      <c r="AB47" s="5" t="str">
        <f t="shared" si="1"/>
        <v>T2</v>
      </c>
      <c r="AC47" s="13">
        <f t="shared" si="2"/>
        <v>2024</v>
      </c>
    </row>
    <row r="48" spans="1:29" x14ac:dyDescent="0.45">
      <c r="A48" s="5" t="s">
        <v>271</v>
      </c>
      <c r="B48" s="5" t="s">
        <v>129</v>
      </c>
      <c r="C48" s="5" t="s">
        <v>120</v>
      </c>
      <c r="D48" s="5">
        <v>20</v>
      </c>
      <c r="E48" s="7">
        <v>38233</v>
      </c>
      <c r="F48" s="5" t="s">
        <v>216</v>
      </c>
      <c r="G48" s="5" t="s">
        <v>129</v>
      </c>
      <c r="H48" s="5" t="s">
        <v>179</v>
      </c>
      <c r="I48" s="5" t="s">
        <v>23</v>
      </c>
      <c r="J48" s="5" t="s">
        <v>5</v>
      </c>
      <c r="K48" s="5" t="str" cm="1">
        <f t="array" ref="K48">_xlfn.SWITCH(_xlfn.TEXTAFTER(L48," of "),
  "Business","BB",
  "IT","BT",
  "Nursing","BN",
  "Engineering","BE",
  "")</f>
        <v>BE</v>
      </c>
      <c r="L48" s="5" t="s">
        <v>200</v>
      </c>
      <c r="M48" s="10">
        <v>982</v>
      </c>
      <c r="N48" s="10">
        <v>539.32000000000005</v>
      </c>
      <c r="O48" s="5">
        <v>1</v>
      </c>
      <c r="P48" s="13">
        <v>583</v>
      </c>
      <c r="Q48" s="5" t="s">
        <v>198</v>
      </c>
      <c r="R48" s="5" t="s">
        <v>24</v>
      </c>
      <c r="S48" s="5" t="s">
        <v>14</v>
      </c>
      <c r="T48" s="5" t="s">
        <v>323</v>
      </c>
      <c r="U48" s="7">
        <f t="shared" si="0"/>
        <v>45645</v>
      </c>
      <c r="V48" s="7">
        <v>46740</v>
      </c>
      <c r="W48" s="5" t="s">
        <v>425</v>
      </c>
      <c r="X48" s="5" t="s">
        <v>12</v>
      </c>
      <c r="Y48" s="5" t="s">
        <v>7</v>
      </c>
      <c r="Z48" s="5" t="s">
        <v>7</v>
      </c>
      <c r="AA48" s="7">
        <v>45329</v>
      </c>
      <c r="AB48" s="5" t="str">
        <f t="shared" si="1"/>
        <v>T3</v>
      </c>
      <c r="AC48" s="13">
        <f t="shared" si="2"/>
        <v>2024</v>
      </c>
    </row>
    <row r="49" spans="1:29" x14ac:dyDescent="0.45">
      <c r="A49" s="5" t="s">
        <v>273</v>
      </c>
      <c r="B49" s="5" t="s">
        <v>117</v>
      </c>
      <c r="C49" s="5" t="s">
        <v>34</v>
      </c>
      <c r="D49" s="5">
        <v>24</v>
      </c>
      <c r="E49" s="7">
        <v>36728</v>
      </c>
      <c r="F49" s="5" t="s">
        <v>189</v>
      </c>
      <c r="G49" s="5" t="s">
        <v>117</v>
      </c>
      <c r="H49" s="5" t="s">
        <v>19</v>
      </c>
      <c r="I49" s="5" t="s">
        <v>4</v>
      </c>
      <c r="J49" s="5" t="s">
        <v>5</v>
      </c>
      <c r="K49" s="5" t="str" cm="1">
        <f t="array" ref="K49">_xlfn.SWITCH(_xlfn.TEXTAFTER(L49," of "),
  "Business","BB",
  "IT","BT",
  "Nursing","BN",
  "Engineering","BE",
  "")</f>
        <v>BB</v>
      </c>
      <c r="L49" s="5" t="s">
        <v>180</v>
      </c>
      <c r="M49" s="10">
        <v>869.52</v>
      </c>
      <c r="N49" s="10">
        <v>551.54</v>
      </c>
      <c r="O49" s="5">
        <v>1</v>
      </c>
      <c r="P49" s="13">
        <v>794</v>
      </c>
      <c r="Q49" s="5" t="s">
        <v>186</v>
      </c>
      <c r="R49" s="5" t="s">
        <v>24</v>
      </c>
      <c r="S49" s="5" t="s">
        <v>18</v>
      </c>
      <c r="T49" s="5" t="s">
        <v>325</v>
      </c>
      <c r="U49" s="7">
        <f t="shared" si="0"/>
        <v>45721</v>
      </c>
      <c r="V49" s="7">
        <v>46817</v>
      </c>
      <c r="W49" s="5" t="s">
        <v>425</v>
      </c>
      <c r="X49" s="5" t="s">
        <v>29</v>
      </c>
      <c r="Y49" s="5" t="s">
        <v>7</v>
      </c>
      <c r="Z49" s="5" t="s">
        <v>7</v>
      </c>
      <c r="AA49" s="7">
        <v>45329</v>
      </c>
      <c r="AB49" s="5" t="str">
        <f t="shared" si="1"/>
        <v>T1</v>
      </c>
      <c r="AC49" s="13">
        <f t="shared" si="2"/>
        <v>2025</v>
      </c>
    </row>
    <row r="50" spans="1:29" x14ac:dyDescent="0.45">
      <c r="A50" s="5" t="s">
        <v>275</v>
      </c>
      <c r="B50" s="5" t="s">
        <v>171</v>
      </c>
      <c r="C50" s="5" t="s">
        <v>120</v>
      </c>
      <c r="D50" s="5">
        <v>24</v>
      </c>
      <c r="E50" s="7">
        <v>36648</v>
      </c>
      <c r="F50" s="5" t="s">
        <v>178</v>
      </c>
      <c r="G50" s="5" t="s">
        <v>171</v>
      </c>
      <c r="H50" s="5" t="s">
        <v>8</v>
      </c>
      <c r="I50" s="5" t="s">
        <v>4</v>
      </c>
      <c r="J50" s="5" t="s">
        <v>5</v>
      </c>
      <c r="K50" s="5" t="str" cm="1">
        <f t="array" ref="K50">_xlfn.SWITCH(_xlfn.TEXTAFTER(L50," of "),
  "Business","BB",
  "IT","BT",
  "Nursing","BN",
  "Engineering","BE",
  "")</f>
        <v>BE</v>
      </c>
      <c r="L50" s="5" t="s">
        <v>200</v>
      </c>
      <c r="M50" s="10">
        <v>1029.2</v>
      </c>
      <c r="N50" s="10">
        <v>614.96</v>
      </c>
      <c r="O50" s="5">
        <v>1</v>
      </c>
      <c r="P50" s="13">
        <v>113</v>
      </c>
      <c r="Q50" s="5" t="s">
        <v>186</v>
      </c>
      <c r="R50" s="5" t="s">
        <v>24</v>
      </c>
      <c r="S50" s="5" t="s">
        <v>6</v>
      </c>
      <c r="T50" s="5" t="s">
        <v>327</v>
      </c>
      <c r="U50" s="7">
        <f>EDATE(V50,-36)</f>
        <v>45477</v>
      </c>
      <c r="V50" s="7">
        <v>46572</v>
      </c>
      <c r="W50" s="5" t="s">
        <v>425</v>
      </c>
      <c r="X50" s="5" t="s">
        <v>12</v>
      </c>
      <c r="Y50" s="5" t="s">
        <v>7</v>
      </c>
      <c r="Z50" s="5" t="s">
        <v>7</v>
      </c>
      <c r="AA50" s="7">
        <v>45239</v>
      </c>
      <c r="AB50" s="5" t="str">
        <f t="shared" si="1"/>
        <v>T2</v>
      </c>
      <c r="AC50" s="13">
        <f t="shared" si="2"/>
        <v>2024</v>
      </c>
    </row>
    <row r="51" spans="1:29" x14ac:dyDescent="0.45">
      <c r="A51" s="5" t="s">
        <v>276</v>
      </c>
      <c r="B51" s="5" t="s">
        <v>142</v>
      </c>
      <c r="C51" s="5" t="s">
        <v>62</v>
      </c>
      <c r="D51" s="5">
        <v>17</v>
      </c>
      <c r="E51" s="7">
        <v>39337</v>
      </c>
      <c r="F51" s="5" t="s">
        <v>216</v>
      </c>
      <c r="G51" s="5" t="s">
        <v>142</v>
      </c>
      <c r="H51" s="5" t="s">
        <v>8</v>
      </c>
      <c r="I51" s="5" t="s">
        <v>4</v>
      </c>
      <c r="J51" s="5" t="s">
        <v>5</v>
      </c>
      <c r="K51" s="5" t="str" cm="1">
        <f t="array" ref="K51">_xlfn.SWITCH(_xlfn.TEXTAFTER(L51," of "),
  "Business","BB",
  "IT","BT",
  "Nursing","BN",
  "Engineering","BE",
  "")</f>
        <v>BT</v>
      </c>
      <c r="L51" s="5" t="s">
        <v>185</v>
      </c>
      <c r="M51" s="10">
        <v>895.24</v>
      </c>
      <c r="N51" s="10">
        <v>366.8</v>
      </c>
      <c r="O51" s="5">
        <v>1</v>
      </c>
      <c r="P51" s="13">
        <v>370</v>
      </c>
      <c r="Q51" s="5" t="s">
        <v>198</v>
      </c>
      <c r="R51" s="5" t="s">
        <v>24</v>
      </c>
      <c r="S51" s="5" t="s">
        <v>21</v>
      </c>
      <c r="T51" s="5" t="s">
        <v>332</v>
      </c>
      <c r="U51" s="7">
        <f t="shared" si="0"/>
        <v>45645</v>
      </c>
      <c r="V51" s="7">
        <v>46740</v>
      </c>
      <c r="W51" s="5" t="s">
        <v>425</v>
      </c>
      <c r="X51" s="5" t="s">
        <v>29</v>
      </c>
      <c r="Y51" s="5" t="s">
        <v>7</v>
      </c>
      <c r="Z51" s="5" t="s">
        <v>7</v>
      </c>
      <c r="AA51" s="7">
        <v>45395</v>
      </c>
      <c r="AB51" s="5" t="str">
        <f t="shared" si="1"/>
        <v>T3</v>
      </c>
      <c r="AC51" s="13">
        <f t="shared" si="2"/>
        <v>2024</v>
      </c>
    </row>
    <row r="52" spans="1:29" x14ac:dyDescent="0.45">
      <c r="A52" s="5" t="s">
        <v>278</v>
      </c>
      <c r="B52" s="5" t="s">
        <v>67</v>
      </c>
      <c r="C52" s="5" t="s">
        <v>108</v>
      </c>
      <c r="D52" s="5">
        <v>34</v>
      </c>
      <c r="E52" s="7">
        <v>32971</v>
      </c>
      <c r="F52" s="5" t="s">
        <v>189</v>
      </c>
      <c r="G52" s="5" t="s">
        <v>67</v>
      </c>
      <c r="H52" s="5" t="s">
        <v>16</v>
      </c>
      <c r="I52" s="5" t="s">
        <v>4</v>
      </c>
      <c r="J52" s="5" t="s">
        <v>5</v>
      </c>
      <c r="K52" s="5" t="str" cm="1">
        <f t="array" ref="K52">_xlfn.SWITCH(_xlfn.TEXTAFTER(L52," of "),
  "Business","BB",
  "IT","BT",
  "Nursing","BN",
  "Engineering","BE",
  "")</f>
        <v>BT</v>
      </c>
      <c r="L52" s="5" t="s">
        <v>185</v>
      </c>
      <c r="M52" s="10">
        <v>904.39</v>
      </c>
      <c r="N52" s="10">
        <v>698.04</v>
      </c>
      <c r="O52" s="5">
        <v>3</v>
      </c>
      <c r="P52" s="13">
        <v>1013</v>
      </c>
      <c r="Q52" s="5" t="s">
        <v>181</v>
      </c>
      <c r="R52" s="5" t="s">
        <v>24</v>
      </c>
      <c r="S52" s="5" t="s">
        <v>18</v>
      </c>
      <c r="T52" s="5" t="s">
        <v>335</v>
      </c>
      <c r="U52" s="7">
        <f t="shared" si="0"/>
        <v>45721</v>
      </c>
      <c r="V52" s="7">
        <v>46817</v>
      </c>
      <c r="W52" s="5" t="s">
        <v>425</v>
      </c>
      <c r="X52" s="5" t="s">
        <v>12</v>
      </c>
      <c r="Y52" s="5" t="s">
        <v>7</v>
      </c>
      <c r="Z52" s="5" t="s">
        <v>7</v>
      </c>
      <c r="AA52" s="7">
        <v>45295</v>
      </c>
      <c r="AB52" s="5" t="str">
        <f t="shared" si="1"/>
        <v>T1</v>
      </c>
      <c r="AC52" s="13">
        <f t="shared" si="2"/>
        <v>2025</v>
      </c>
    </row>
    <row r="53" spans="1:29" x14ac:dyDescent="0.45">
      <c r="A53" s="5" t="s">
        <v>280</v>
      </c>
      <c r="B53" s="5" t="s">
        <v>125</v>
      </c>
      <c r="C53" s="5" t="s">
        <v>88</v>
      </c>
      <c r="D53" s="5">
        <v>27</v>
      </c>
      <c r="E53" s="7">
        <v>35670</v>
      </c>
      <c r="F53" s="5" t="s">
        <v>216</v>
      </c>
      <c r="G53" s="5" t="s">
        <v>125</v>
      </c>
      <c r="H53" s="5" t="s">
        <v>197</v>
      </c>
      <c r="I53" s="5" t="s">
        <v>4</v>
      </c>
      <c r="J53" s="5" t="s">
        <v>5</v>
      </c>
      <c r="K53" s="5" t="str" cm="1">
        <f t="array" ref="K53">_xlfn.SWITCH(_xlfn.TEXTAFTER(L53," of "),
  "Business","BB",
  "IT","BT",
  "Nursing","BN",
  "Engineering","BE",
  "")</f>
        <v>BB</v>
      </c>
      <c r="L53" s="5" t="s">
        <v>180</v>
      </c>
      <c r="M53" s="10">
        <v>829.06</v>
      </c>
      <c r="N53" s="10">
        <v>665.96</v>
      </c>
      <c r="O53" s="5">
        <v>1</v>
      </c>
      <c r="P53" s="13">
        <v>109</v>
      </c>
      <c r="Q53" s="5" t="s">
        <v>186</v>
      </c>
      <c r="R53" s="5" t="s">
        <v>24</v>
      </c>
      <c r="S53" s="5" t="s">
        <v>6</v>
      </c>
      <c r="T53" s="5" t="s">
        <v>338</v>
      </c>
      <c r="U53" s="7">
        <f t="shared" si="0"/>
        <v>45477</v>
      </c>
      <c r="V53" s="7">
        <v>46572</v>
      </c>
      <c r="W53" s="5" t="s">
        <v>251</v>
      </c>
      <c r="X53" s="5" t="s">
        <v>12</v>
      </c>
      <c r="Y53" s="5" t="s">
        <v>7</v>
      </c>
      <c r="Z53" s="5" t="s">
        <v>7</v>
      </c>
      <c r="AA53" s="7">
        <v>45094</v>
      </c>
      <c r="AB53" s="5" t="str">
        <f t="shared" si="1"/>
        <v>T2</v>
      </c>
      <c r="AC53" s="13">
        <f t="shared" si="2"/>
        <v>2024</v>
      </c>
    </row>
    <row r="54" spans="1:29" x14ac:dyDescent="0.45">
      <c r="A54" s="5" t="s">
        <v>281</v>
      </c>
      <c r="B54" s="5" t="s">
        <v>166</v>
      </c>
      <c r="C54" s="5" t="s">
        <v>126</v>
      </c>
      <c r="D54" s="5">
        <v>30</v>
      </c>
      <c r="E54" s="7">
        <v>34535</v>
      </c>
      <c r="F54" s="5" t="s">
        <v>178</v>
      </c>
      <c r="G54" s="5" t="s">
        <v>166</v>
      </c>
      <c r="H54" s="5" t="s">
        <v>179</v>
      </c>
      <c r="I54" s="5" t="s">
        <v>4</v>
      </c>
      <c r="J54" s="5" t="s">
        <v>5</v>
      </c>
      <c r="K54" s="5" t="str" cm="1">
        <f t="array" ref="K54">_xlfn.SWITCH(_xlfn.TEXTAFTER(L54," of "),
  "Business","BB",
  "IT","BT",
  "Nursing","BN",
  "Engineering","BE",
  "")</f>
        <v>BT</v>
      </c>
      <c r="L54" s="5" t="s">
        <v>185</v>
      </c>
      <c r="M54" s="10">
        <v>993.61</v>
      </c>
      <c r="N54" s="10">
        <v>460.15</v>
      </c>
      <c r="O54" s="5">
        <v>1</v>
      </c>
      <c r="P54" s="13">
        <v>596</v>
      </c>
      <c r="Q54" s="5" t="s">
        <v>181</v>
      </c>
      <c r="R54" s="5" t="s">
        <v>24</v>
      </c>
      <c r="S54" s="5" t="s">
        <v>18</v>
      </c>
      <c r="T54" s="5" t="s">
        <v>340</v>
      </c>
      <c r="U54" s="7">
        <f t="shared" si="0"/>
        <v>45645</v>
      </c>
      <c r="V54" s="7">
        <v>46740</v>
      </c>
      <c r="W54" s="5" t="s">
        <v>251</v>
      </c>
      <c r="X54" s="5" t="s">
        <v>29</v>
      </c>
      <c r="Y54" s="5" t="s">
        <v>7</v>
      </c>
      <c r="Z54" s="5" t="s">
        <v>17</v>
      </c>
      <c r="AA54" s="7">
        <v>45163</v>
      </c>
      <c r="AB54" s="5" t="str">
        <f t="shared" si="1"/>
        <v>T3</v>
      </c>
      <c r="AC54" s="13">
        <f t="shared" si="2"/>
        <v>2024</v>
      </c>
    </row>
    <row r="55" spans="1:29" x14ac:dyDescent="0.45">
      <c r="A55" s="5" t="s">
        <v>283</v>
      </c>
      <c r="B55" s="5" t="s">
        <v>60</v>
      </c>
      <c r="C55" s="5" t="s">
        <v>156</v>
      </c>
      <c r="D55" s="5">
        <v>28</v>
      </c>
      <c r="E55" s="7">
        <v>35251</v>
      </c>
      <c r="F55" s="5" t="s">
        <v>178</v>
      </c>
      <c r="G55" s="5" t="s">
        <v>60</v>
      </c>
      <c r="H55" s="5" t="s">
        <v>20</v>
      </c>
      <c r="I55" s="5" t="s">
        <v>4</v>
      </c>
      <c r="J55" s="5" t="s">
        <v>5</v>
      </c>
      <c r="K55" s="5" t="str" cm="1">
        <f t="array" ref="K55">_xlfn.SWITCH(_xlfn.TEXTAFTER(L55," of "),
  "Business","BB",
  "IT","BT",
  "Nursing","BN",
  "Engineering","BE",
  "")</f>
        <v>BN</v>
      </c>
      <c r="L55" s="5" t="s">
        <v>192</v>
      </c>
      <c r="M55" s="10">
        <v>1129.01</v>
      </c>
      <c r="N55" s="10">
        <v>733.08</v>
      </c>
      <c r="O55" s="5">
        <v>1</v>
      </c>
      <c r="P55" s="13">
        <v>503</v>
      </c>
      <c r="Q55" s="5" t="s">
        <v>198</v>
      </c>
      <c r="R55" s="5" t="s">
        <v>24</v>
      </c>
      <c r="S55" s="5" t="s">
        <v>208</v>
      </c>
      <c r="T55" s="5" t="s">
        <v>342</v>
      </c>
      <c r="U55" s="7">
        <f t="shared" si="0"/>
        <v>45504</v>
      </c>
      <c r="V55" s="7">
        <v>46599</v>
      </c>
      <c r="W55" s="5" t="s">
        <v>251</v>
      </c>
      <c r="X55" s="5" t="s">
        <v>12</v>
      </c>
      <c r="Y55" s="5" t="s">
        <v>7</v>
      </c>
      <c r="Z55" s="5" t="s">
        <v>7</v>
      </c>
      <c r="AA55" s="7">
        <v>45337</v>
      </c>
      <c r="AB55" s="5" t="str">
        <f t="shared" si="1"/>
        <v>T2</v>
      </c>
      <c r="AC55" s="13">
        <f t="shared" si="2"/>
        <v>2024</v>
      </c>
    </row>
    <row r="56" spans="1:29" x14ac:dyDescent="0.45">
      <c r="A56" s="5" t="s">
        <v>285</v>
      </c>
      <c r="B56" s="5" t="s">
        <v>160</v>
      </c>
      <c r="C56" s="5" t="s">
        <v>81</v>
      </c>
      <c r="D56" s="5">
        <v>22</v>
      </c>
      <c r="E56" s="7">
        <v>37605</v>
      </c>
      <c r="F56" s="5" t="s">
        <v>178</v>
      </c>
      <c r="G56" s="5" t="s">
        <v>160</v>
      </c>
      <c r="H56" s="5" t="s">
        <v>8</v>
      </c>
      <c r="I56" s="5" t="s">
        <v>4</v>
      </c>
      <c r="J56" s="5" t="s">
        <v>5</v>
      </c>
      <c r="K56" s="5" t="str" cm="1">
        <f t="array" ref="K56">_xlfn.SWITCH(_xlfn.TEXTAFTER(L56," of "),
  "Business","BB",
  "IT","BT",
  "Nursing","BN",
  "Engineering","BE",
  "")</f>
        <v>BE</v>
      </c>
      <c r="L56" s="5" t="s">
        <v>200</v>
      </c>
      <c r="M56" s="10">
        <v>1032.83</v>
      </c>
      <c r="N56" s="10">
        <v>463.6</v>
      </c>
      <c r="O56" s="5">
        <v>1</v>
      </c>
      <c r="P56" s="13">
        <v>56</v>
      </c>
      <c r="Q56" s="5" t="s">
        <v>181</v>
      </c>
      <c r="R56" s="5" t="s">
        <v>9</v>
      </c>
      <c r="S56" s="5" t="s">
        <v>211</v>
      </c>
      <c r="T56" s="5" t="s">
        <v>346</v>
      </c>
      <c r="U56" s="7">
        <f t="shared" si="0"/>
        <v>45477</v>
      </c>
      <c r="V56" s="7">
        <v>46572</v>
      </c>
      <c r="W56" s="5" t="s">
        <v>251</v>
      </c>
      <c r="X56" s="5" t="s">
        <v>12</v>
      </c>
      <c r="Y56" s="5" t="s">
        <v>7</v>
      </c>
      <c r="Z56" s="5" t="s">
        <v>7</v>
      </c>
      <c r="AA56" s="7">
        <v>45343</v>
      </c>
      <c r="AB56" s="5" t="str">
        <f t="shared" si="1"/>
        <v>T2</v>
      </c>
      <c r="AC56" s="13">
        <f t="shared" si="2"/>
        <v>2024</v>
      </c>
    </row>
    <row r="57" spans="1:29" x14ac:dyDescent="0.45">
      <c r="A57" s="5" t="s">
        <v>287</v>
      </c>
      <c r="B57" s="5" t="s">
        <v>159</v>
      </c>
      <c r="C57" s="5" t="s">
        <v>88</v>
      </c>
      <c r="D57" s="5">
        <v>32</v>
      </c>
      <c r="E57" s="7">
        <v>33751</v>
      </c>
      <c r="F57" s="5" t="s">
        <v>189</v>
      </c>
      <c r="G57" s="5" t="s">
        <v>159</v>
      </c>
      <c r="H57" s="5" t="s">
        <v>16</v>
      </c>
      <c r="I57" s="5" t="s">
        <v>202</v>
      </c>
      <c r="J57" s="5" t="s">
        <v>5</v>
      </c>
      <c r="K57" s="5" t="str" cm="1">
        <f t="array" ref="K57">_xlfn.SWITCH(_xlfn.TEXTAFTER(L57," of "),
  "Business","BB",
  "IT","BT",
  "Nursing","BN",
  "Engineering","BE",
  "")</f>
        <v>BN</v>
      </c>
      <c r="L57" s="5" t="s">
        <v>192</v>
      </c>
      <c r="M57" s="10">
        <v>1149.4100000000001</v>
      </c>
      <c r="N57" s="10">
        <v>807.47</v>
      </c>
      <c r="O57" s="5">
        <v>1</v>
      </c>
      <c r="P57" s="13">
        <v>546</v>
      </c>
      <c r="Q57" s="5" t="s">
        <v>198</v>
      </c>
      <c r="R57" s="5" t="s">
        <v>9</v>
      </c>
      <c r="S57" s="5" t="s">
        <v>18</v>
      </c>
      <c r="T57" s="5" t="s">
        <v>348</v>
      </c>
      <c r="U57" s="7">
        <f t="shared" si="0"/>
        <v>45645</v>
      </c>
      <c r="V57" s="7">
        <v>46740</v>
      </c>
      <c r="W57" s="5" t="s">
        <v>251</v>
      </c>
      <c r="X57" s="5" t="s">
        <v>183</v>
      </c>
      <c r="Y57" s="5" t="s">
        <v>7</v>
      </c>
      <c r="Z57" s="5" t="s">
        <v>7</v>
      </c>
      <c r="AA57" s="7">
        <v>45522</v>
      </c>
      <c r="AB57" s="5" t="str">
        <f t="shared" si="1"/>
        <v>T3</v>
      </c>
      <c r="AC57" s="13">
        <f t="shared" si="2"/>
        <v>2024</v>
      </c>
    </row>
    <row r="58" spans="1:29" x14ac:dyDescent="0.45">
      <c r="A58" s="5" t="s">
        <v>289</v>
      </c>
      <c r="B58" s="5" t="s">
        <v>148</v>
      </c>
      <c r="C58" s="5" t="s">
        <v>88</v>
      </c>
      <c r="D58" s="5">
        <v>20</v>
      </c>
      <c r="E58" s="7">
        <v>38332</v>
      </c>
      <c r="F58" s="5" t="s">
        <v>189</v>
      </c>
      <c r="G58" s="5" t="s">
        <v>148</v>
      </c>
      <c r="H58" s="5" t="s">
        <v>8</v>
      </c>
      <c r="I58" s="5" t="s">
        <v>4</v>
      </c>
      <c r="J58" s="5" t="s">
        <v>5</v>
      </c>
      <c r="K58" s="5" t="str" cm="1">
        <f t="array" ref="K58">_xlfn.SWITCH(_xlfn.TEXTAFTER(L58," of "),
  "Business","BB",
  "IT","BT",
  "Nursing","BN",
  "Engineering","BE",
  "")</f>
        <v>BE</v>
      </c>
      <c r="L58" s="5" t="s">
        <v>200</v>
      </c>
      <c r="M58" s="10">
        <v>993.43</v>
      </c>
      <c r="N58" s="10">
        <v>523.1</v>
      </c>
      <c r="O58" s="5">
        <v>1</v>
      </c>
      <c r="P58" s="13">
        <v>537</v>
      </c>
      <c r="Q58" s="5" t="s">
        <v>206</v>
      </c>
      <c r="R58" s="5" t="s">
        <v>9</v>
      </c>
      <c r="S58" s="5" t="s">
        <v>18</v>
      </c>
      <c r="T58" s="5" t="s">
        <v>350</v>
      </c>
      <c r="U58" s="7">
        <f t="shared" si="0"/>
        <v>45645</v>
      </c>
      <c r="V58" s="7">
        <v>46740</v>
      </c>
      <c r="W58" s="5" t="s">
        <v>251</v>
      </c>
      <c r="X58" s="5" t="s">
        <v>183</v>
      </c>
      <c r="Y58" s="5" t="s">
        <v>7</v>
      </c>
      <c r="Z58" s="5" t="s">
        <v>7</v>
      </c>
      <c r="AA58" s="7">
        <v>45031</v>
      </c>
      <c r="AB58" s="5" t="str">
        <f t="shared" si="1"/>
        <v>T3</v>
      </c>
      <c r="AC58" s="13">
        <f t="shared" si="2"/>
        <v>2024</v>
      </c>
    </row>
    <row r="59" spans="1:29" x14ac:dyDescent="0.45">
      <c r="A59" s="5" t="s">
        <v>291</v>
      </c>
      <c r="B59" s="5" t="s">
        <v>150</v>
      </c>
      <c r="C59" s="5" t="s">
        <v>76</v>
      </c>
      <c r="D59" s="5">
        <v>19</v>
      </c>
      <c r="E59" s="7">
        <v>38499</v>
      </c>
      <c r="F59" s="5" t="s">
        <v>216</v>
      </c>
      <c r="G59" s="5" t="s">
        <v>150</v>
      </c>
      <c r="H59" s="5" t="s">
        <v>197</v>
      </c>
      <c r="I59" s="5" t="s">
        <v>4</v>
      </c>
      <c r="J59" s="5" t="s">
        <v>5</v>
      </c>
      <c r="K59" s="5" t="str" cm="1">
        <f t="array" ref="K59">_xlfn.SWITCH(_xlfn.TEXTAFTER(L59," of "),
  "Business","BB",
  "IT","BT",
  "Nursing","BN",
  "Engineering","BE",
  "")</f>
        <v>BN</v>
      </c>
      <c r="L59" s="5" t="s">
        <v>192</v>
      </c>
      <c r="M59" s="10">
        <v>1112.0999999999999</v>
      </c>
      <c r="N59" s="10">
        <v>774.84</v>
      </c>
      <c r="O59" s="5">
        <v>1</v>
      </c>
      <c r="P59" s="13">
        <v>474</v>
      </c>
      <c r="Q59" s="5" t="s">
        <v>186</v>
      </c>
      <c r="R59" s="5" t="s">
        <v>9</v>
      </c>
      <c r="S59" s="5" t="s">
        <v>211</v>
      </c>
      <c r="T59" s="5" t="s">
        <v>352</v>
      </c>
      <c r="U59" s="7">
        <f t="shared" si="0"/>
        <v>45382</v>
      </c>
      <c r="V59" s="7">
        <v>46477</v>
      </c>
      <c r="W59" s="5" t="s">
        <v>251</v>
      </c>
      <c r="X59" s="5" t="s">
        <v>12</v>
      </c>
      <c r="Y59" s="5" t="s">
        <v>7</v>
      </c>
      <c r="Z59" s="5" t="s">
        <v>7</v>
      </c>
      <c r="AA59" s="7">
        <v>45590</v>
      </c>
      <c r="AB59" s="5" t="str">
        <f t="shared" si="1"/>
        <v>T1</v>
      </c>
      <c r="AC59" s="13">
        <f t="shared" si="2"/>
        <v>2024</v>
      </c>
    </row>
    <row r="60" spans="1:29" x14ac:dyDescent="0.45">
      <c r="A60" s="5" t="s">
        <v>293</v>
      </c>
      <c r="B60" s="5" t="s">
        <v>153</v>
      </c>
      <c r="C60" s="5" t="s">
        <v>134</v>
      </c>
      <c r="D60" s="5">
        <v>20</v>
      </c>
      <c r="E60" s="7">
        <v>38338</v>
      </c>
      <c r="F60" s="5" t="s">
        <v>216</v>
      </c>
      <c r="G60" s="5" t="s">
        <v>153</v>
      </c>
      <c r="H60" s="5" t="s">
        <v>197</v>
      </c>
      <c r="I60" s="5" t="s">
        <v>4</v>
      </c>
      <c r="J60" s="5" t="s">
        <v>5</v>
      </c>
      <c r="K60" s="5" t="str" cm="1">
        <f t="array" ref="K60">_xlfn.SWITCH(_xlfn.TEXTAFTER(L60," of "),
  "Business","BB",
  "IT","BT",
  "Nursing","BN",
  "Engineering","BE",
  "")</f>
        <v>BB</v>
      </c>
      <c r="L60" s="5" t="s">
        <v>180</v>
      </c>
      <c r="M60" s="10">
        <v>848.13</v>
      </c>
      <c r="N60" s="10">
        <v>616.72</v>
      </c>
      <c r="O60" s="5">
        <v>2</v>
      </c>
      <c r="P60" s="13">
        <v>490</v>
      </c>
      <c r="Q60" s="5" t="s">
        <v>206</v>
      </c>
      <c r="R60" s="5" t="s">
        <v>9</v>
      </c>
      <c r="S60" s="5" t="s">
        <v>13</v>
      </c>
      <c r="T60" s="5" t="s">
        <v>357</v>
      </c>
      <c r="U60" s="7">
        <f t="shared" si="0"/>
        <v>45382</v>
      </c>
      <c r="V60" s="7">
        <v>46477</v>
      </c>
      <c r="W60" s="5" t="s">
        <v>251</v>
      </c>
      <c r="X60" s="5" t="s">
        <v>183</v>
      </c>
      <c r="Y60" s="5" t="s">
        <v>7</v>
      </c>
      <c r="Z60" s="5" t="s">
        <v>7</v>
      </c>
      <c r="AA60" s="7">
        <v>45533</v>
      </c>
      <c r="AB60" s="5" t="str">
        <f t="shared" si="1"/>
        <v>T1</v>
      </c>
      <c r="AC60" s="13">
        <f t="shared" si="2"/>
        <v>2024</v>
      </c>
    </row>
    <row r="61" spans="1:29" x14ac:dyDescent="0.45">
      <c r="A61" s="5" t="s">
        <v>295</v>
      </c>
      <c r="B61" s="5" t="s">
        <v>144</v>
      </c>
      <c r="C61" s="5" t="s">
        <v>44</v>
      </c>
      <c r="D61" s="5">
        <v>19</v>
      </c>
      <c r="E61" s="7">
        <v>38660</v>
      </c>
      <c r="F61" s="5" t="s">
        <v>189</v>
      </c>
      <c r="G61" s="5" t="s">
        <v>144</v>
      </c>
      <c r="H61" s="5" t="s">
        <v>8</v>
      </c>
      <c r="I61" s="5" t="s">
        <v>4</v>
      </c>
      <c r="J61" s="5" t="s">
        <v>5</v>
      </c>
      <c r="K61" s="5" t="str" cm="1">
        <f t="array" ref="K61">_xlfn.SWITCH(_xlfn.TEXTAFTER(L61," of "),
  "Business","BB",
  "IT","BT",
  "Nursing","BN",
  "Engineering","BE",
  "")</f>
        <v>BT</v>
      </c>
      <c r="L61" s="5" t="s">
        <v>185</v>
      </c>
      <c r="M61" s="10">
        <v>891.41</v>
      </c>
      <c r="N61" s="10">
        <v>664.9</v>
      </c>
      <c r="O61" s="5">
        <v>1</v>
      </c>
      <c r="P61" s="13">
        <v>108</v>
      </c>
      <c r="Q61" s="5" t="s">
        <v>198</v>
      </c>
      <c r="R61" s="5" t="s">
        <v>9</v>
      </c>
      <c r="S61" s="5" t="s">
        <v>6</v>
      </c>
      <c r="T61" s="5" t="s">
        <v>359</v>
      </c>
      <c r="U61" s="7">
        <f t="shared" si="0"/>
        <v>45477</v>
      </c>
      <c r="V61" s="7">
        <v>46572</v>
      </c>
      <c r="W61" s="5" t="s">
        <v>251</v>
      </c>
      <c r="X61" s="5" t="s">
        <v>29</v>
      </c>
      <c r="Y61" s="5" t="s">
        <v>7</v>
      </c>
      <c r="Z61" s="5" t="s">
        <v>7</v>
      </c>
      <c r="AA61" s="7">
        <v>45107</v>
      </c>
      <c r="AB61" s="5" t="str">
        <f t="shared" si="1"/>
        <v>T2</v>
      </c>
      <c r="AC61" s="13">
        <f t="shared" si="2"/>
        <v>2024</v>
      </c>
    </row>
    <row r="62" spans="1:29" x14ac:dyDescent="0.45">
      <c r="A62" s="5" t="s">
        <v>296</v>
      </c>
      <c r="B62" s="5" t="s">
        <v>68</v>
      </c>
      <c r="C62" s="5" t="s">
        <v>77</v>
      </c>
      <c r="D62" s="5">
        <v>17</v>
      </c>
      <c r="E62" s="7">
        <v>39210</v>
      </c>
      <c r="F62" s="5" t="s">
        <v>178</v>
      </c>
      <c r="G62" s="5" t="s">
        <v>68</v>
      </c>
      <c r="H62" s="5" t="s">
        <v>8</v>
      </c>
      <c r="I62" s="5" t="s">
        <v>297</v>
      </c>
      <c r="J62" s="5" t="s">
        <v>5</v>
      </c>
      <c r="K62" s="5" t="str" cm="1">
        <f t="array" ref="K62">_xlfn.SWITCH(_xlfn.TEXTAFTER(L62," of "),
  "Business","BB",
  "IT","BT",
  "Nursing","BN",
  "Engineering","BE",
  "")</f>
        <v>BE</v>
      </c>
      <c r="L62" s="5" t="s">
        <v>200</v>
      </c>
      <c r="M62" s="10">
        <v>1026.94</v>
      </c>
      <c r="N62" s="10">
        <v>460.57</v>
      </c>
      <c r="O62" s="5">
        <v>1</v>
      </c>
      <c r="P62" s="13">
        <v>497</v>
      </c>
      <c r="Q62" s="5" t="s">
        <v>198</v>
      </c>
      <c r="R62" s="5" t="s">
        <v>9</v>
      </c>
      <c r="S62" s="5" t="s">
        <v>13</v>
      </c>
      <c r="T62" s="5" t="s">
        <v>361</v>
      </c>
      <c r="U62" s="7">
        <f t="shared" si="0"/>
        <v>45645</v>
      </c>
      <c r="V62" s="7">
        <v>46740</v>
      </c>
      <c r="W62" s="5" t="s">
        <v>251</v>
      </c>
      <c r="X62" s="5" t="s">
        <v>12</v>
      </c>
      <c r="Y62" s="5" t="s">
        <v>7</v>
      </c>
      <c r="Z62" s="5" t="s">
        <v>7</v>
      </c>
      <c r="AA62" s="7">
        <v>45409</v>
      </c>
      <c r="AB62" s="5" t="str">
        <f t="shared" si="1"/>
        <v>T3</v>
      </c>
      <c r="AC62" s="13">
        <f t="shared" si="2"/>
        <v>2024</v>
      </c>
    </row>
    <row r="63" spans="1:29" x14ac:dyDescent="0.45">
      <c r="A63" s="5" t="s">
        <v>298</v>
      </c>
      <c r="B63" s="5" t="s">
        <v>172</v>
      </c>
      <c r="C63" s="5" t="s">
        <v>98</v>
      </c>
      <c r="D63" s="5">
        <v>19</v>
      </c>
      <c r="E63" s="7">
        <v>38690</v>
      </c>
      <c r="F63" s="5" t="s">
        <v>216</v>
      </c>
      <c r="G63" s="5" t="s">
        <v>172</v>
      </c>
      <c r="H63" s="5" t="s">
        <v>16</v>
      </c>
      <c r="I63" s="5" t="s">
        <v>4</v>
      </c>
      <c r="J63" s="5" t="s">
        <v>5</v>
      </c>
      <c r="K63" s="5" t="str" cm="1">
        <f t="array" ref="K63">_xlfn.SWITCH(_xlfn.TEXTAFTER(L63," of "),
  "Business","BB",
  "IT","BT",
  "Nursing","BN",
  "Engineering","BE",
  "")</f>
        <v>BE</v>
      </c>
      <c r="L63" s="5" t="s">
        <v>200</v>
      </c>
      <c r="M63" s="10">
        <v>995.38</v>
      </c>
      <c r="N63" s="10">
        <v>808.45</v>
      </c>
      <c r="O63" s="5">
        <v>1</v>
      </c>
      <c r="P63" s="13">
        <v>119</v>
      </c>
      <c r="Q63" s="5" t="s">
        <v>181</v>
      </c>
      <c r="R63" s="5" t="s">
        <v>9</v>
      </c>
      <c r="S63" s="5" t="s">
        <v>6</v>
      </c>
      <c r="T63" s="5" t="s">
        <v>381</v>
      </c>
      <c r="U63" s="7">
        <f t="shared" si="0"/>
        <v>45477</v>
      </c>
      <c r="V63" s="7">
        <v>46572</v>
      </c>
      <c r="W63" s="5" t="s">
        <v>251</v>
      </c>
      <c r="X63" s="5" t="s">
        <v>183</v>
      </c>
      <c r="Y63" s="5" t="s">
        <v>7</v>
      </c>
      <c r="Z63" s="5" t="s">
        <v>7</v>
      </c>
      <c r="AA63" s="7">
        <v>45122</v>
      </c>
      <c r="AB63" s="5" t="str">
        <f t="shared" si="1"/>
        <v>T2</v>
      </c>
      <c r="AC63" s="13">
        <f t="shared" si="2"/>
        <v>2024</v>
      </c>
    </row>
    <row r="64" spans="1:29" x14ac:dyDescent="0.45">
      <c r="A64" s="5" t="s">
        <v>299</v>
      </c>
      <c r="B64" s="5" t="s">
        <v>89</v>
      </c>
      <c r="C64" s="5" t="s">
        <v>143</v>
      </c>
      <c r="D64" s="5">
        <v>25</v>
      </c>
      <c r="E64" s="7">
        <v>36427</v>
      </c>
      <c r="F64" s="5" t="s">
        <v>189</v>
      </c>
      <c r="G64" s="5" t="s">
        <v>89</v>
      </c>
      <c r="H64" s="5" t="s">
        <v>10</v>
      </c>
      <c r="I64" s="5" t="s">
        <v>4</v>
      </c>
      <c r="J64" s="5" t="s">
        <v>5</v>
      </c>
      <c r="K64" s="5" t="str" cm="1">
        <f t="array" ref="K64">_xlfn.SWITCH(_xlfn.TEXTAFTER(L64," of "),
  "Business","BB",
  "IT","BT",
  "Nursing","BN",
  "Engineering","BE",
  "")</f>
        <v>BT</v>
      </c>
      <c r="L64" s="5" t="s">
        <v>185</v>
      </c>
      <c r="M64" s="10">
        <v>959.92</v>
      </c>
      <c r="N64" s="10">
        <v>483.41</v>
      </c>
      <c r="O64" s="5">
        <v>1</v>
      </c>
      <c r="P64" s="13">
        <v>387</v>
      </c>
      <c r="Q64" s="5" t="s">
        <v>198</v>
      </c>
      <c r="R64" s="5" t="s">
        <v>9</v>
      </c>
      <c r="S64" s="5" t="s">
        <v>208</v>
      </c>
      <c r="T64" s="5" t="s">
        <v>382</v>
      </c>
      <c r="U64" s="7">
        <f t="shared" si="0"/>
        <v>45504</v>
      </c>
      <c r="V64" s="7">
        <v>46599</v>
      </c>
      <c r="W64" s="5" t="s">
        <v>251</v>
      </c>
      <c r="X64" s="5" t="s">
        <v>12</v>
      </c>
      <c r="Y64" s="5" t="s">
        <v>17</v>
      </c>
      <c r="Z64" s="5" t="s">
        <v>7</v>
      </c>
      <c r="AA64" s="7">
        <v>45036</v>
      </c>
      <c r="AB64" s="5" t="str">
        <f t="shared" si="1"/>
        <v>T2</v>
      </c>
      <c r="AC64" s="13">
        <f t="shared" si="2"/>
        <v>2024</v>
      </c>
    </row>
    <row r="65" spans="1:29" x14ac:dyDescent="0.45">
      <c r="A65" s="5" t="s">
        <v>301</v>
      </c>
      <c r="B65" s="5" t="s">
        <v>94</v>
      </c>
      <c r="C65" s="5" t="s">
        <v>118</v>
      </c>
      <c r="D65" s="5">
        <v>20</v>
      </c>
      <c r="E65" s="7">
        <v>38137</v>
      </c>
      <c r="F65" s="5" t="s">
        <v>216</v>
      </c>
      <c r="G65" s="5" t="s">
        <v>94</v>
      </c>
      <c r="H65" s="5" t="s">
        <v>16</v>
      </c>
      <c r="I65" s="5" t="s">
        <v>4</v>
      </c>
      <c r="J65" s="5" t="s">
        <v>5</v>
      </c>
      <c r="K65" s="5" t="str" cm="1">
        <f t="array" ref="K65">_xlfn.SWITCH(_xlfn.TEXTAFTER(L65," of "),
  "Business","BB",
  "IT","BT",
  "Nursing","BN",
  "Engineering","BE",
  "")</f>
        <v>BN</v>
      </c>
      <c r="L65" s="5" t="s">
        <v>192</v>
      </c>
      <c r="M65" s="10">
        <v>1146.6400000000001</v>
      </c>
      <c r="N65" s="10">
        <v>477.96</v>
      </c>
      <c r="O65" s="5">
        <v>1</v>
      </c>
      <c r="P65" s="13">
        <v>662</v>
      </c>
      <c r="Q65" s="5" t="s">
        <v>181</v>
      </c>
      <c r="R65" s="5" t="s">
        <v>9</v>
      </c>
      <c r="S65" s="5" t="s">
        <v>18</v>
      </c>
      <c r="T65" s="5" t="s">
        <v>383</v>
      </c>
      <c r="U65" s="7">
        <f t="shared" si="0"/>
        <v>45371</v>
      </c>
      <c r="V65" s="7">
        <v>46466</v>
      </c>
      <c r="W65" s="5" t="s">
        <v>251</v>
      </c>
      <c r="X65" s="5" t="s">
        <v>29</v>
      </c>
      <c r="Y65" s="5" t="s">
        <v>7</v>
      </c>
      <c r="Z65" s="5" t="s">
        <v>7</v>
      </c>
      <c r="AA65" s="7">
        <v>45241</v>
      </c>
      <c r="AB65" s="5" t="str">
        <f t="shared" si="1"/>
        <v>T1</v>
      </c>
      <c r="AC65" s="13">
        <f t="shared" si="2"/>
        <v>2024</v>
      </c>
    </row>
    <row r="66" spans="1:29" x14ac:dyDescent="0.45">
      <c r="A66" s="5" t="s">
        <v>302</v>
      </c>
      <c r="B66" s="5" t="s">
        <v>45</v>
      </c>
      <c r="C66" s="5" t="s">
        <v>46</v>
      </c>
      <c r="D66" s="5">
        <v>19</v>
      </c>
      <c r="E66" s="7">
        <v>38650</v>
      </c>
      <c r="F66" s="5" t="s">
        <v>178</v>
      </c>
      <c r="G66" s="5" t="s">
        <v>45</v>
      </c>
      <c r="H66" s="5" t="s">
        <v>20</v>
      </c>
      <c r="I66" s="5" t="s">
        <v>23</v>
      </c>
      <c r="J66" s="5" t="s">
        <v>5</v>
      </c>
      <c r="K66" s="5" t="str" cm="1">
        <f t="array" ref="K66">_xlfn.SWITCH(_xlfn.TEXTAFTER(L66," of "),
  "Business","BB",
  "IT","BT",
  "Nursing","BN",
  "Engineering","BE",
  "")</f>
        <v>BT</v>
      </c>
      <c r="L66" s="5" t="s">
        <v>185</v>
      </c>
      <c r="M66" s="10">
        <v>970.48</v>
      </c>
      <c r="N66" s="10">
        <v>630.5</v>
      </c>
      <c r="O66" s="5">
        <v>1</v>
      </c>
      <c r="P66" s="13">
        <v>139</v>
      </c>
      <c r="Q66" s="5" t="s">
        <v>193</v>
      </c>
      <c r="R66" s="5" t="s">
        <v>24</v>
      </c>
      <c r="S66" s="5" t="s">
        <v>11</v>
      </c>
      <c r="T66" s="5" t="s">
        <v>384</v>
      </c>
      <c r="U66" s="7">
        <f t="shared" si="0"/>
        <v>45477</v>
      </c>
      <c r="V66" s="7">
        <v>46572</v>
      </c>
      <c r="W66" s="5" t="s">
        <v>251</v>
      </c>
      <c r="X66" s="5" t="s">
        <v>29</v>
      </c>
      <c r="Y66" s="5" t="s">
        <v>7</v>
      </c>
      <c r="Z66" s="5" t="s">
        <v>7</v>
      </c>
      <c r="AA66" s="7">
        <v>45130</v>
      </c>
      <c r="AB66" s="5" t="str">
        <f t="shared" si="1"/>
        <v>T2</v>
      </c>
      <c r="AC66" s="13">
        <f t="shared" si="2"/>
        <v>2024</v>
      </c>
    </row>
    <row r="67" spans="1:29" x14ac:dyDescent="0.45">
      <c r="A67" s="5" t="s">
        <v>304</v>
      </c>
      <c r="B67" s="5" t="s">
        <v>139</v>
      </c>
      <c r="C67" s="5" t="s">
        <v>49</v>
      </c>
      <c r="D67" s="5">
        <v>23</v>
      </c>
      <c r="E67" s="7">
        <v>37154</v>
      </c>
      <c r="F67" s="5" t="s">
        <v>189</v>
      </c>
      <c r="G67" s="5" t="s">
        <v>139</v>
      </c>
      <c r="H67" s="5" t="s">
        <v>179</v>
      </c>
      <c r="I67" s="5" t="s">
        <v>4</v>
      </c>
      <c r="J67" s="5" t="s">
        <v>5</v>
      </c>
      <c r="K67" s="5" t="str" cm="1">
        <f t="array" ref="K67">_xlfn.SWITCH(_xlfn.TEXTAFTER(L67," of "),
  "Business","BB",
  "IT","BT",
  "Nursing","BN",
  "Engineering","BE",
  "")</f>
        <v>BN</v>
      </c>
      <c r="L67" s="5" t="s">
        <v>192</v>
      </c>
      <c r="M67" s="10">
        <v>1109.43</v>
      </c>
      <c r="N67" s="10">
        <v>628.95000000000005</v>
      </c>
      <c r="O67" s="5">
        <v>1</v>
      </c>
      <c r="P67" s="13">
        <v>354</v>
      </c>
      <c r="Q67" s="5" t="s">
        <v>186</v>
      </c>
      <c r="R67" s="5" t="s">
        <v>30</v>
      </c>
      <c r="S67" s="5" t="s">
        <v>13</v>
      </c>
      <c r="T67" s="5" t="s">
        <v>385</v>
      </c>
      <c r="U67" s="7">
        <f t="shared" ref="U67:U70" si="3">EDATE(V67,-36)</f>
        <v>45382</v>
      </c>
      <c r="V67" s="7">
        <v>46477</v>
      </c>
      <c r="W67" s="5" t="s">
        <v>251</v>
      </c>
      <c r="X67" s="5" t="s">
        <v>12</v>
      </c>
      <c r="Y67" s="5" t="s">
        <v>7</v>
      </c>
      <c r="Z67" s="5" t="s">
        <v>7</v>
      </c>
      <c r="AA67" s="7">
        <v>45609</v>
      </c>
      <c r="AB67" s="5" t="str">
        <f t="shared" ref="AB67:AB101" si="4">IF(MONTH(V67)=3,"T1", IF(MONTH(V67)=7,"T2",IF(MONTH(V67)=12,"T3")))</f>
        <v>T1</v>
      </c>
      <c r="AC67" s="13">
        <f t="shared" ref="AC67:AC100" si="5">YEAR(U67)</f>
        <v>2024</v>
      </c>
    </row>
    <row r="68" spans="1:29" x14ac:dyDescent="0.45">
      <c r="A68" s="5" t="s">
        <v>306</v>
      </c>
      <c r="B68" s="5" t="s">
        <v>164</v>
      </c>
      <c r="C68" s="5" t="s">
        <v>167</v>
      </c>
      <c r="D68" s="5">
        <v>20</v>
      </c>
      <c r="E68" s="7">
        <v>38130</v>
      </c>
      <c r="F68" s="5" t="s">
        <v>216</v>
      </c>
      <c r="G68" s="5" t="s">
        <v>164</v>
      </c>
      <c r="H68" s="5" t="s">
        <v>10</v>
      </c>
      <c r="I68" s="5" t="s">
        <v>4</v>
      </c>
      <c r="J68" s="5" t="s">
        <v>5</v>
      </c>
      <c r="K68" s="5" t="str" cm="1">
        <f t="array" ref="K68">_xlfn.SWITCH(_xlfn.TEXTAFTER(L68," of "),
  "Business","BB",
  "IT","BT",
  "Nursing","BN",
  "Engineering","BE",
  "")</f>
        <v>BN</v>
      </c>
      <c r="L68" s="5" t="s">
        <v>192</v>
      </c>
      <c r="M68" s="10">
        <v>1110.42</v>
      </c>
      <c r="N68" s="10">
        <v>858.8</v>
      </c>
      <c r="O68" s="5">
        <v>1</v>
      </c>
      <c r="P68" s="13">
        <v>597</v>
      </c>
      <c r="Q68" s="5" t="s">
        <v>198</v>
      </c>
      <c r="R68" s="5" t="s">
        <v>30</v>
      </c>
      <c r="S68" s="5" t="s">
        <v>18</v>
      </c>
      <c r="T68" s="5" t="s">
        <v>386</v>
      </c>
      <c r="U68" s="7">
        <f t="shared" si="3"/>
        <v>45721</v>
      </c>
      <c r="V68" s="7">
        <v>46817</v>
      </c>
      <c r="W68" s="5" t="s">
        <v>251</v>
      </c>
      <c r="X68" s="5" t="s">
        <v>183</v>
      </c>
      <c r="Y68" s="5" t="s">
        <v>7</v>
      </c>
      <c r="Z68" s="5" t="s">
        <v>17</v>
      </c>
      <c r="AA68" s="7">
        <v>45307</v>
      </c>
      <c r="AB68" s="5" t="str">
        <f t="shared" si="4"/>
        <v>T1</v>
      </c>
      <c r="AC68" s="13">
        <f t="shared" si="5"/>
        <v>2025</v>
      </c>
    </row>
    <row r="69" spans="1:29" x14ac:dyDescent="0.45">
      <c r="A69" s="5" t="s">
        <v>308</v>
      </c>
      <c r="B69" s="5" t="s">
        <v>22</v>
      </c>
      <c r="C69" s="5" t="s">
        <v>163</v>
      </c>
      <c r="D69" s="5">
        <v>26</v>
      </c>
      <c r="E69" s="7">
        <v>35907</v>
      </c>
      <c r="F69" s="5" t="s">
        <v>189</v>
      </c>
      <c r="G69" s="5" t="s">
        <v>22</v>
      </c>
      <c r="H69" s="5" t="s">
        <v>197</v>
      </c>
      <c r="I69" s="5" t="s">
        <v>297</v>
      </c>
      <c r="J69" s="5" t="s">
        <v>5</v>
      </c>
      <c r="K69" s="5" t="str" cm="1">
        <f t="array" ref="K69">_xlfn.SWITCH(_xlfn.TEXTAFTER(L69," of "),
  "Business","BB",
  "IT","BT",
  "Nursing","BN",
  "Engineering","BE",
  "")</f>
        <v>BN</v>
      </c>
      <c r="L69" s="5" t="s">
        <v>192</v>
      </c>
      <c r="M69" s="10">
        <v>1065.5</v>
      </c>
      <c r="N69" s="10">
        <v>813.74</v>
      </c>
      <c r="O69" s="5">
        <v>3</v>
      </c>
      <c r="P69" s="13">
        <v>571</v>
      </c>
      <c r="Q69" s="5" t="s">
        <v>198</v>
      </c>
      <c r="R69" s="5" t="s">
        <v>30</v>
      </c>
      <c r="S69" s="5" t="s">
        <v>235</v>
      </c>
      <c r="T69" s="5" t="s">
        <v>387</v>
      </c>
      <c r="U69" s="7">
        <f t="shared" si="3"/>
        <v>45721</v>
      </c>
      <c r="V69" s="7">
        <v>46817</v>
      </c>
      <c r="W69" s="5" t="s">
        <v>251</v>
      </c>
      <c r="X69" s="5" t="s">
        <v>12</v>
      </c>
      <c r="Y69" s="5" t="s">
        <v>7</v>
      </c>
      <c r="Z69" s="5" t="s">
        <v>7</v>
      </c>
      <c r="AA69" s="7">
        <v>45166</v>
      </c>
      <c r="AB69" s="5" t="str">
        <f t="shared" si="4"/>
        <v>T1</v>
      </c>
      <c r="AC69" s="13">
        <f t="shared" si="5"/>
        <v>2025</v>
      </c>
    </row>
    <row r="70" spans="1:29" x14ac:dyDescent="0.45">
      <c r="A70" s="5" t="s">
        <v>310</v>
      </c>
      <c r="B70" s="5" t="s">
        <v>157</v>
      </c>
      <c r="C70" s="5" t="s">
        <v>95</v>
      </c>
      <c r="D70" s="5">
        <v>17</v>
      </c>
      <c r="E70" s="7">
        <v>39142</v>
      </c>
      <c r="F70" s="5" t="s">
        <v>189</v>
      </c>
      <c r="G70" s="5" t="s">
        <v>157</v>
      </c>
      <c r="H70" s="5" t="s">
        <v>20</v>
      </c>
      <c r="I70" s="5" t="s">
        <v>297</v>
      </c>
      <c r="J70" s="5" t="s">
        <v>5</v>
      </c>
      <c r="K70" s="5" t="str" cm="1">
        <f t="array" ref="K70">_xlfn.SWITCH(_xlfn.TEXTAFTER(L70," of "),
  "Business","BB",
  "IT","BT",
  "Nursing","BN",
  "Engineering","BE",
  "")</f>
        <v>BB</v>
      </c>
      <c r="L70" s="5" t="s">
        <v>180</v>
      </c>
      <c r="M70" s="10">
        <v>832.44</v>
      </c>
      <c r="N70" s="10">
        <v>451.78</v>
      </c>
      <c r="O70" s="5">
        <v>1</v>
      </c>
      <c r="P70" s="13">
        <v>454</v>
      </c>
      <c r="Q70" s="5" t="s">
        <v>181</v>
      </c>
      <c r="R70" s="5" t="s">
        <v>30</v>
      </c>
      <c r="S70" s="5" t="s">
        <v>6</v>
      </c>
      <c r="T70" s="5" t="s">
        <v>388</v>
      </c>
      <c r="U70" s="7">
        <f t="shared" si="3"/>
        <v>45477</v>
      </c>
      <c r="V70" s="7">
        <v>46572</v>
      </c>
      <c r="W70" s="5" t="s">
        <v>251</v>
      </c>
      <c r="X70" s="5" t="s">
        <v>12</v>
      </c>
      <c r="Y70" s="5" t="s">
        <v>7</v>
      </c>
      <c r="Z70" s="5" t="s">
        <v>7</v>
      </c>
      <c r="AA70" s="7">
        <v>45486</v>
      </c>
      <c r="AB70" s="5" t="str">
        <f t="shared" si="4"/>
        <v>T2</v>
      </c>
      <c r="AC70" s="13">
        <f t="shared" si="5"/>
        <v>2024</v>
      </c>
    </row>
    <row r="71" spans="1:29" x14ac:dyDescent="0.45">
      <c r="A71" s="5" t="s">
        <v>311</v>
      </c>
      <c r="B71" s="5" t="s">
        <v>63</v>
      </c>
      <c r="C71" s="5" t="s">
        <v>69</v>
      </c>
      <c r="D71" s="5">
        <v>31</v>
      </c>
      <c r="E71" s="7">
        <v>34336</v>
      </c>
      <c r="F71" s="5" t="s">
        <v>189</v>
      </c>
      <c r="G71" s="5" t="s">
        <v>63</v>
      </c>
      <c r="H71" s="5" t="s">
        <v>10</v>
      </c>
      <c r="I71" s="5" t="s">
        <v>23</v>
      </c>
      <c r="J71" s="5" t="s">
        <v>5</v>
      </c>
      <c r="K71" s="5" t="str" cm="1">
        <f t="array" ref="K71">_xlfn.SWITCH(_xlfn.TEXTAFTER(L71," of "),
  "Business","BB",
  "IT","BT",
  "Nursing","BN",
  "Engineering","BE",
  "")</f>
        <v>BB</v>
      </c>
      <c r="L71" s="5" t="s">
        <v>180</v>
      </c>
      <c r="M71" s="10">
        <v>890.89</v>
      </c>
      <c r="N71" s="10">
        <v>738.37</v>
      </c>
      <c r="O71" s="5">
        <v>1</v>
      </c>
      <c r="P71" s="13">
        <v>990</v>
      </c>
      <c r="Q71" s="5" t="s">
        <v>181</v>
      </c>
      <c r="R71" s="5" t="s">
        <v>30</v>
      </c>
      <c r="S71" s="5" t="s">
        <v>235</v>
      </c>
      <c r="T71" s="5" t="s">
        <v>389</v>
      </c>
      <c r="U71" s="7">
        <f>EDATE(V71,-36)</f>
        <v>45721</v>
      </c>
      <c r="V71" s="7">
        <v>46817</v>
      </c>
      <c r="W71" s="5" t="s">
        <v>251</v>
      </c>
      <c r="X71" s="5" t="s">
        <v>12</v>
      </c>
      <c r="Y71" s="5" t="s">
        <v>7</v>
      </c>
      <c r="Z71" s="5" t="s">
        <v>17</v>
      </c>
      <c r="AA71" s="7">
        <v>45462</v>
      </c>
      <c r="AB71" s="5" t="str">
        <f t="shared" si="4"/>
        <v>T1</v>
      </c>
      <c r="AC71" s="13">
        <f t="shared" si="5"/>
        <v>2025</v>
      </c>
    </row>
    <row r="72" spans="1:29" x14ac:dyDescent="0.45">
      <c r="A72" s="5" t="s">
        <v>313</v>
      </c>
      <c r="B72" s="5" t="s">
        <v>151</v>
      </c>
      <c r="C72" s="5" t="s">
        <v>93</v>
      </c>
      <c r="D72" s="5">
        <v>25</v>
      </c>
      <c r="E72" s="7">
        <v>36464</v>
      </c>
      <c r="F72" s="5" t="s">
        <v>178</v>
      </c>
      <c r="G72" s="5" t="s">
        <v>151</v>
      </c>
      <c r="H72" s="5" t="s">
        <v>20</v>
      </c>
      <c r="I72" s="5" t="s">
        <v>4</v>
      </c>
      <c r="J72" s="5" t="s">
        <v>5</v>
      </c>
      <c r="K72" s="5" t="str" cm="1">
        <f t="array" ref="K72">_xlfn.SWITCH(_xlfn.TEXTAFTER(L72," of "),
  "Business","BB",
  "IT","BT",
  "Nursing","BN",
  "Engineering","BE",
  "")</f>
        <v>BT</v>
      </c>
      <c r="L72" s="5" t="s">
        <v>185</v>
      </c>
      <c r="M72" s="10">
        <v>906.62</v>
      </c>
      <c r="N72" s="10">
        <v>481.34</v>
      </c>
      <c r="O72" s="5">
        <v>1</v>
      </c>
      <c r="P72" s="13">
        <v>482</v>
      </c>
      <c r="Q72" s="5" t="s">
        <v>198</v>
      </c>
      <c r="R72" s="5" t="s">
        <v>9</v>
      </c>
      <c r="S72" s="5" t="s">
        <v>249</v>
      </c>
      <c r="T72" s="5" t="s">
        <v>390</v>
      </c>
      <c r="U72" s="7">
        <f t="shared" ref="U72:U82" si="6">EDATE(V72,-36)</f>
        <v>45645</v>
      </c>
      <c r="V72" s="7">
        <v>46740</v>
      </c>
      <c r="W72" s="5" t="s">
        <v>251</v>
      </c>
      <c r="X72" s="5" t="s">
        <v>183</v>
      </c>
      <c r="Y72" s="5" t="s">
        <v>7</v>
      </c>
      <c r="Z72" s="5" t="s">
        <v>7</v>
      </c>
      <c r="AA72" s="7">
        <v>45134</v>
      </c>
      <c r="AB72" s="5" t="str">
        <f t="shared" si="4"/>
        <v>T3</v>
      </c>
      <c r="AC72" s="13">
        <f t="shared" si="5"/>
        <v>2024</v>
      </c>
    </row>
    <row r="73" spans="1:29" x14ac:dyDescent="0.45">
      <c r="A73" s="5" t="s">
        <v>315</v>
      </c>
      <c r="B73" s="5" t="s">
        <v>58</v>
      </c>
      <c r="C73" s="5" t="s">
        <v>114</v>
      </c>
      <c r="D73" s="5">
        <v>18</v>
      </c>
      <c r="E73" s="7">
        <v>38857</v>
      </c>
      <c r="F73" s="5" t="s">
        <v>189</v>
      </c>
      <c r="G73" s="5" t="s">
        <v>58</v>
      </c>
      <c r="H73" s="5" t="s">
        <v>179</v>
      </c>
      <c r="I73" s="5" t="s">
        <v>4</v>
      </c>
      <c r="J73" s="5" t="s">
        <v>5</v>
      </c>
      <c r="K73" s="5" t="str" cm="1">
        <f t="array" ref="K73">_xlfn.SWITCH(_xlfn.TEXTAFTER(L73," of "),
  "Business","BB",
  "IT","BT",
  "Nursing","BN",
  "Engineering","BE",
  "")</f>
        <v>BN</v>
      </c>
      <c r="L73" s="5" t="s">
        <v>192</v>
      </c>
      <c r="M73" s="10">
        <v>1083.9000000000001</v>
      </c>
      <c r="N73" s="10">
        <v>684.78</v>
      </c>
      <c r="O73" s="5">
        <v>1</v>
      </c>
      <c r="P73" s="13">
        <v>615</v>
      </c>
      <c r="Q73" s="5" t="s">
        <v>206</v>
      </c>
      <c r="R73" s="5" t="s">
        <v>9</v>
      </c>
      <c r="S73" s="5" t="s">
        <v>18</v>
      </c>
      <c r="T73" s="5" t="s">
        <v>391</v>
      </c>
      <c r="U73" s="7">
        <f t="shared" si="6"/>
        <v>45721</v>
      </c>
      <c r="V73" s="7">
        <v>46817</v>
      </c>
      <c r="W73" s="5" t="s">
        <v>251</v>
      </c>
      <c r="X73" s="5" t="s">
        <v>29</v>
      </c>
      <c r="Y73" s="5" t="s">
        <v>17</v>
      </c>
      <c r="Z73" s="5" t="s">
        <v>7</v>
      </c>
      <c r="AA73" s="7">
        <v>45542</v>
      </c>
      <c r="AB73" s="5" t="str">
        <f t="shared" si="4"/>
        <v>T1</v>
      </c>
      <c r="AC73" s="13">
        <f t="shared" si="5"/>
        <v>2025</v>
      </c>
    </row>
    <row r="74" spans="1:29" x14ac:dyDescent="0.45">
      <c r="A74" s="5" t="s">
        <v>316</v>
      </c>
      <c r="B74" s="5" t="s">
        <v>111</v>
      </c>
      <c r="C74" s="5" t="s">
        <v>51</v>
      </c>
      <c r="D74" s="5">
        <v>17</v>
      </c>
      <c r="E74" s="7">
        <v>39119</v>
      </c>
      <c r="F74" s="5" t="s">
        <v>178</v>
      </c>
      <c r="G74" s="5" t="s">
        <v>111</v>
      </c>
      <c r="H74" s="5" t="s">
        <v>10</v>
      </c>
      <c r="I74" s="5" t="s">
        <v>202</v>
      </c>
      <c r="J74" s="5" t="s">
        <v>5</v>
      </c>
      <c r="K74" s="5" t="str" cm="1">
        <f t="array" ref="K74">_xlfn.SWITCH(_xlfn.TEXTAFTER(L74," of "),
  "Business","BB",
  "IT","BT",
  "Nursing","BN",
  "Engineering","BE",
  "")</f>
        <v>BE</v>
      </c>
      <c r="L74" s="5" t="s">
        <v>200</v>
      </c>
      <c r="M74" s="10">
        <v>1056.54</v>
      </c>
      <c r="N74" s="10">
        <v>544.30999999999995</v>
      </c>
      <c r="O74" s="5">
        <v>2</v>
      </c>
      <c r="P74" s="13">
        <v>478</v>
      </c>
      <c r="Q74" s="5" t="s">
        <v>193</v>
      </c>
      <c r="R74" s="5" t="s">
        <v>9</v>
      </c>
      <c r="S74" s="5" t="s">
        <v>249</v>
      </c>
      <c r="T74" s="5" t="s">
        <v>392</v>
      </c>
      <c r="U74" s="7">
        <f t="shared" si="6"/>
        <v>45504</v>
      </c>
      <c r="V74" s="7">
        <v>46599</v>
      </c>
      <c r="W74" s="5" t="s">
        <v>251</v>
      </c>
      <c r="X74" s="5" t="s">
        <v>29</v>
      </c>
      <c r="Y74" s="5" t="s">
        <v>7</v>
      </c>
      <c r="Z74" s="5" t="s">
        <v>7</v>
      </c>
      <c r="AA74" s="7">
        <v>45269</v>
      </c>
      <c r="AB74" s="5" t="str">
        <f t="shared" si="4"/>
        <v>T2</v>
      </c>
      <c r="AC74" s="13">
        <f t="shared" si="5"/>
        <v>2024</v>
      </c>
    </row>
    <row r="75" spans="1:29" x14ac:dyDescent="0.45">
      <c r="A75" s="5" t="s">
        <v>318</v>
      </c>
      <c r="B75" s="5" t="s">
        <v>70</v>
      </c>
      <c r="C75" s="5" t="s">
        <v>112</v>
      </c>
      <c r="D75" s="5">
        <v>27</v>
      </c>
      <c r="E75" s="7">
        <v>35439</v>
      </c>
      <c r="F75" s="5" t="s">
        <v>216</v>
      </c>
      <c r="G75" s="5" t="s">
        <v>70</v>
      </c>
      <c r="H75" s="5" t="s">
        <v>179</v>
      </c>
      <c r="I75" s="5" t="s">
        <v>4</v>
      </c>
      <c r="J75" s="5" t="s">
        <v>5</v>
      </c>
      <c r="K75" s="5" t="str" cm="1">
        <f t="array" ref="K75">_xlfn.SWITCH(_xlfn.TEXTAFTER(L75," of "),
  "Business","BB",
  "IT","BT",
  "Nursing","BN",
  "Engineering","BE",
  "")</f>
        <v>BB</v>
      </c>
      <c r="L75" s="5" t="s">
        <v>180</v>
      </c>
      <c r="M75" s="10">
        <v>861.69</v>
      </c>
      <c r="N75" s="10">
        <v>707.64</v>
      </c>
      <c r="O75" s="5">
        <v>2</v>
      </c>
      <c r="P75" s="13">
        <v>323</v>
      </c>
      <c r="Q75" s="5" t="s">
        <v>198</v>
      </c>
      <c r="R75" s="5" t="s">
        <v>9</v>
      </c>
      <c r="S75" s="5" t="s">
        <v>6</v>
      </c>
      <c r="T75" s="5" t="s">
        <v>393</v>
      </c>
      <c r="U75" s="7">
        <f t="shared" si="6"/>
        <v>45358</v>
      </c>
      <c r="V75" s="7">
        <v>46453</v>
      </c>
      <c r="W75" s="5" t="s">
        <v>251</v>
      </c>
      <c r="X75" s="5" t="s">
        <v>183</v>
      </c>
      <c r="Y75" s="5" t="s">
        <v>7</v>
      </c>
      <c r="Z75" s="5" t="s">
        <v>7</v>
      </c>
      <c r="AA75" s="7">
        <v>45500</v>
      </c>
      <c r="AB75" s="5" t="str">
        <f t="shared" si="4"/>
        <v>T1</v>
      </c>
      <c r="AC75" s="13">
        <f t="shared" si="5"/>
        <v>2024</v>
      </c>
    </row>
    <row r="76" spans="1:29" x14ac:dyDescent="0.45">
      <c r="A76" s="5" t="s">
        <v>320</v>
      </c>
      <c r="B76" s="5" t="s">
        <v>170</v>
      </c>
      <c r="C76" s="5" t="s">
        <v>162</v>
      </c>
      <c r="D76" s="5">
        <v>25</v>
      </c>
      <c r="E76" s="7">
        <v>36259</v>
      </c>
      <c r="F76" s="5" t="s">
        <v>178</v>
      </c>
      <c r="G76" s="5" t="s">
        <v>170</v>
      </c>
      <c r="H76" s="5" t="s">
        <v>8</v>
      </c>
      <c r="I76" s="5" t="s">
        <v>4</v>
      </c>
      <c r="J76" s="5" t="s">
        <v>5</v>
      </c>
      <c r="K76" s="5" t="str" cm="1">
        <f t="array" ref="K76">_xlfn.SWITCH(_xlfn.TEXTAFTER(L76," of "),
  "Business","BB",
  "IT","BT",
  "Nursing","BN",
  "Engineering","BE",
  "")</f>
        <v>BE</v>
      </c>
      <c r="L76" s="5" t="s">
        <v>200</v>
      </c>
      <c r="M76" s="10">
        <v>929.33</v>
      </c>
      <c r="N76" s="10">
        <v>440.57</v>
      </c>
      <c r="O76" s="5">
        <v>1</v>
      </c>
      <c r="P76" s="13">
        <v>86</v>
      </c>
      <c r="Q76" s="5" t="s">
        <v>193</v>
      </c>
      <c r="R76" s="5" t="s">
        <v>9</v>
      </c>
      <c r="S76" s="5" t="s">
        <v>6</v>
      </c>
      <c r="T76" s="5" t="s">
        <v>394</v>
      </c>
      <c r="U76" s="7">
        <f t="shared" si="6"/>
        <v>45477</v>
      </c>
      <c r="V76" s="7">
        <v>46572</v>
      </c>
      <c r="W76" s="5" t="s">
        <v>425</v>
      </c>
      <c r="X76" s="5" t="s">
        <v>29</v>
      </c>
      <c r="Y76" s="5" t="s">
        <v>7</v>
      </c>
      <c r="Z76" s="5" t="s">
        <v>7</v>
      </c>
      <c r="AA76" s="7">
        <v>45214</v>
      </c>
      <c r="AB76" s="5" t="str">
        <f t="shared" si="4"/>
        <v>T2</v>
      </c>
      <c r="AC76" s="13">
        <f t="shared" si="5"/>
        <v>2024</v>
      </c>
    </row>
    <row r="77" spans="1:29" x14ac:dyDescent="0.45">
      <c r="A77" s="5" t="s">
        <v>322</v>
      </c>
      <c r="B77" s="5" t="s">
        <v>115</v>
      </c>
      <c r="C77" s="5" t="s">
        <v>74</v>
      </c>
      <c r="D77" s="5">
        <v>27</v>
      </c>
      <c r="E77" s="7">
        <v>35734</v>
      </c>
      <c r="F77" s="5" t="s">
        <v>189</v>
      </c>
      <c r="G77" s="5" t="s">
        <v>115</v>
      </c>
      <c r="H77" s="5" t="s">
        <v>16</v>
      </c>
      <c r="I77" s="5" t="s">
        <v>4</v>
      </c>
      <c r="J77" s="5" t="s">
        <v>5</v>
      </c>
      <c r="K77" s="5" t="str" cm="1">
        <f t="array" ref="K77">_xlfn.SWITCH(_xlfn.TEXTAFTER(L77," of "),
  "Business","BB",
  "IT","BT",
  "Nursing","BN",
  "Engineering","BE",
  "")</f>
        <v>BT</v>
      </c>
      <c r="L77" s="5" t="s">
        <v>185</v>
      </c>
      <c r="M77" s="10">
        <v>916.77</v>
      </c>
      <c r="N77" s="10">
        <v>385.24</v>
      </c>
      <c r="O77" s="5">
        <v>1</v>
      </c>
      <c r="P77" s="13">
        <v>628</v>
      </c>
      <c r="Q77" s="5" t="s">
        <v>198</v>
      </c>
      <c r="R77" s="5" t="s">
        <v>9</v>
      </c>
      <c r="S77" s="5" t="s">
        <v>18</v>
      </c>
      <c r="T77" s="5" t="s">
        <v>395</v>
      </c>
      <c r="U77" s="7">
        <f t="shared" si="6"/>
        <v>45854</v>
      </c>
      <c r="V77" s="7">
        <v>46950</v>
      </c>
      <c r="W77" s="5" t="s">
        <v>425</v>
      </c>
      <c r="X77" s="5" t="s">
        <v>12</v>
      </c>
      <c r="Y77" s="5" t="s">
        <v>7</v>
      </c>
      <c r="Z77" s="5" t="s">
        <v>7</v>
      </c>
      <c r="AA77" s="7">
        <v>45472</v>
      </c>
      <c r="AB77" s="5" t="str">
        <f t="shared" si="4"/>
        <v>T2</v>
      </c>
      <c r="AC77" s="13">
        <f t="shared" si="5"/>
        <v>2025</v>
      </c>
    </row>
    <row r="78" spans="1:29" x14ac:dyDescent="0.45">
      <c r="A78" s="5" t="s">
        <v>324</v>
      </c>
      <c r="B78" s="5" t="s">
        <v>102</v>
      </c>
      <c r="C78" s="5" t="s">
        <v>42</v>
      </c>
      <c r="D78" s="5">
        <v>27</v>
      </c>
      <c r="E78" s="7">
        <v>35582</v>
      </c>
      <c r="F78" s="5" t="s">
        <v>178</v>
      </c>
      <c r="G78" s="5" t="s">
        <v>102</v>
      </c>
      <c r="H78" s="5" t="s">
        <v>16</v>
      </c>
      <c r="I78" s="5" t="s">
        <v>4</v>
      </c>
      <c r="J78" s="5" t="s">
        <v>5</v>
      </c>
      <c r="K78" s="5" t="str" cm="1">
        <f t="array" ref="K78">_xlfn.SWITCH(_xlfn.TEXTAFTER(L78," of "),
  "Business","BB",
  "IT","BT",
  "Nursing","BN",
  "Engineering","BE",
  "")</f>
        <v>BB</v>
      </c>
      <c r="L78" s="5" t="s">
        <v>180</v>
      </c>
      <c r="M78" s="10">
        <v>870.28</v>
      </c>
      <c r="N78" s="10">
        <v>518.51</v>
      </c>
      <c r="O78" s="5">
        <v>1</v>
      </c>
      <c r="P78" s="13">
        <v>399</v>
      </c>
      <c r="Q78" s="5" t="s">
        <v>198</v>
      </c>
      <c r="R78" s="5" t="s">
        <v>9</v>
      </c>
      <c r="S78" s="5" t="s">
        <v>211</v>
      </c>
      <c r="T78" s="5" t="s">
        <v>396</v>
      </c>
      <c r="U78" s="7">
        <f t="shared" si="6"/>
        <v>45504</v>
      </c>
      <c r="V78" s="7">
        <v>46599</v>
      </c>
      <c r="W78" s="5" t="s">
        <v>425</v>
      </c>
      <c r="X78" s="5" t="s">
        <v>12</v>
      </c>
      <c r="Y78" s="5" t="s">
        <v>7</v>
      </c>
      <c r="Z78" s="5" t="s">
        <v>7</v>
      </c>
      <c r="AA78" s="7">
        <v>45202</v>
      </c>
      <c r="AB78" s="5" t="str">
        <f t="shared" si="4"/>
        <v>T2</v>
      </c>
      <c r="AC78" s="13">
        <f t="shared" si="5"/>
        <v>2024</v>
      </c>
    </row>
    <row r="79" spans="1:29" x14ac:dyDescent="0.45">
      <c r="A79" s="5" t="s">
        <v>326</v>
      </c>
      <c r="B79" s="5" t="s">
        <v>90</v>
      </c>
      <c r="C79" s="5" t="s">
        <v>108</v>
      </c>
      <c r="D79" s="5">
        <v>18</v>
      </c>
      <c r="E79" s="7">
        <v>38837</v>
      </c>
      <c r="F79" s="5" t="s">
        <v>178</v>
      </c>
      <c r="G79" s="5" t="s">
        <v>90</v>
      </c>
      <c r="H79" s="5" t="s">
        <v>16</v>
      </c>
      <c r="I79" s="5" t="s">
        <v>4</v>
      </c>
      <c r="J79" s="5" t="s">
        <v>5</v>
      </c>
      <c r="K79" s="5" t="str" cm="1">
        <f t="array" ref="K79">_xlfn.SWITCH(_xlfn.TEXTAFTER(L79," of "),
  "Business","BB",
  "IT","BT",
  "Nursing","BN",
  "Engineering","BE",
  "")</f>
        <v>BT</v>
      </c>
      <c r="L79" s="5" t="s">
        <v>185</v>
      </c>
      <c r="M79" s="10">
        <v>974.61</v>
      </c>
      <c r="N79" s="10">
        <v>825.07</v>
      </c>
      <c r="O79" s="5">
        <v>2</v>
      </c>
      <c r="P79" s="13">
        <v>65</v>
      </c>
      <c r="Q79" s="5" t="s">
        <v>186</v>
      </c>
      <c r="R79" s="5" t="s">
        <v>9</v>
      </c>
      <c r="S79" s="5" t="s">
        <v>211</v>
      </c>
      <c r="T79" s="5" t="s">
        <v>397</v>
      </c>
      <c r="U79" s="7">
        <f t="shared" si="6"/>
        <v>45477</v>
      </c>
      <c r="V79" s="7">
        <v>46572</v>
      </c>
      <c r="W79" s="5" t="s">
        <v>425</v>
      </c>
      <c r="X79" s="5" t="s">
        <v>12</v>
      </c>
      <c r="Y79" s="5" t="s">
        <v>7</v>
      </c>
      <c r="Z79" s="5" t="s">
        <v>7</v>
      </c>
      <c r="AA79" s="7">
        <v>45068</v>
      </c>
      <c r="AB79" s="5" t="str">
        <f t="shared" si="4"/>
        <v>T2</v>
      </c>
      <c r="AC79" s="13">
        <f t="shared" si="5"/>
        <v>2024</v>
      </c>
    </row>
    <row r="80" spans="1:29" x14ac:dyDescent="0.45">
      <c r="A80" s="5" t="s">
        <v>328</v>
      </c>
      <c r="B80" s="5" t="s">
        <v>72</v>
      </c>
      <c r="C80" s="5" t="s">
        <v>86</v>
      </c>
      <c r="D80" s="5">
        <v>17</v>
      </c>
      <c r="E80" s="7">
        <v>39198</v>
      </c>
      <c r="F80" s="5" t="s">
        <v>178</v>
      </c>
      <c r="G80" s="5" t="s">
        <v>72</v>
      </c>
      <c r="H80" s="5" t="s">
        <v>10</v>
      </c>
      <c r="I80" s="5" t="s">
        <v>297</v>
      </c>
      <c r="J80" s="5" t="s">
        <v>5</v>
      </c>
      <c r="K80" s="5" t="str" cm="1">
        <f t="array" ref="K80">_xlfn.SWITCH(_xlfn.TEXTAFTER(L80," of "),
  "Business","BB",
  "IT","BT",
  "Nursing","BN",
  "Engineering","BE",
  "")</f>
        <v>BT</v>
      </c>
      <c r="L80" s="5" t="s">
        <v>185</v>
      </c>
      <c r="M80" s="10">
        <v>958.67</v>
      </c>
      <c r="N80" s="10">
        <v>768.14</v>
      </c>
      <c r="O80" s="5">
        <v>1</v>
      </c>
      <c r="P80" s="13">
        <v>569</v>
      </c>
      <c r="Q80" s="5" t="s">
        <v>181</v>
      </c>
      <c r="R80" s="5" t="s">
        <v>9</v>
      </c>
      <c r="S80" s="5" t="s">
        <v>18</v>
      </c>
      <c r="T80" s="5" t="s">
        <v>398</v>
      </c>
      <c r="U80" s="7">
        <f t="shared" si="6"/>
        <v>45504</v>
      </c>
      <c r="V80" s="7">
        <v>46599</v>
      </c>
      <c r="W80" s="5" t="s">
        <v>425</v>
      </c>
      <c r="X80" s="5" t="s">
        <v>12</v>
      </c>
      <c r="Y80" s="5" t="s">
        <v>17</v>
      </c>
      <c r="Z80" s="5" t="s">
        <v>7</v>
      </c>
      <c r="AA80" s="7">
        <v>45411</v>
      </c>
      <c r="AB80" s="5" t="str">
        <f t="shared" si="4"/>
        <v>T2</v>
      </c>
      <c r="AC80" s="13">
        <f t="shared" si="5"/>
        <v>2024</v>
      </c>
    </row>
    <row r="81" spans="1:29" x14ac:dyDescent="0.45">
      <c r="A81" s="5" t="s">
        <v>329</v>
      </c>
      <c r="B81" s="5" t="s">
        <v>157</v>
      </c>
      <c r="C81" s="5" t="s">
        <v>154</v>
      </c>
      <c r="D81" s="5">
        <v>19</v>
      </c>
      <c r="E81" s="7">
        <v>38465</v>
      </c>
      <c r="F81" s="5" t="s">
        <v>216</v>
      </c>
      <c r="G81" s="5" t="s">
        <v>157</v>
      </c>
      <c r="H81" s="5" t="s">
        <v>8</v>
      </c>
      <c r="I81" s="5" t="s">
        <v>4</v>
      </c>
      <c r="J81" s="5" t="s">
        <v>5</v>
      </c>
      <c r="K81" s="5" t="str" cm="1">
        <f t="array" ref="K81">_xlfn.SWITCH(_xlfn.TEXTAFTER(L81," of "),
  "Business","BB",
  "IT","BT",
  "Nursing","BN",
  "Engineering","BE",
  "")</f>
        <v>BB</v>
      </c>
      <c r="L81" s="5" t="s">
        <v>180</v>
      </c>
      <c r="M81" s="10">
        <v>940.88</v>
      </c>
      <c r="N81" s="10">
        <v>693.31</v>
      </c>
      <c r="O81" s="5">
        <v>1</v>
      </c>
      <c r="P81" s="13">
        <v>718</v>
      </c>
      <c r="Q81" s="5" t="s">
        <v>198</v>
      </c>
      <c r="R81" s="5" t="s">
        <v>363</v>
      </c>
      <c r="S81" s="5" t="s">
        <v>18</v>
      </c>
      <c r="T81" s="5" t="s">
        <v>399</v>
      </c>
      <c r="U81" s="7">
        <f t="shared" si="6"/>
        <v>45721</v>
      </c>
      <c r="V81" s="7">
        <v>46817</v>
      </c>
      <c r="W81" s="5" t="s">
        <v>425</v>
      </c>
      <c r="X81" s="5" t="s">
        <v>183</v>
      </c>
      <c r="Y81" s="5" t="s">
        <v>7</v>
      </c>
      <c r="Z81" s="5" t="s">
        <v>7</v>
      </c>
      <c r="AA81" s="7">
        <v>45256</v>
      </c>
      <c r="AB81" s="5" t="str">
        <f t="shared" si="4"/>
        <v>T1</v>
      </c>
      <c r="AC81" s="13">
        <f t="shared" si="5"/>
        <v>2025</v>
      </c>
    </row>
    <row r="82" spans="1:29" x14ac:dyDescent="0.45">
      <c r="A82" s="5" t="s">
        <v>330</v>
      </c>
      <c r="B82" s="5" t="s">
        <v>155</v>
      </c>
      <c r="C82" s="5" t="s">
        <v>46</v>
      </c>
      <c r="D82" s="5">
        <v>28</v>
      </c>
      <c r="E82" s="7">
        <v>35168</v>
      </c>
      <c r="F82" s="5" t="s">
        <v>216</v>
      </c>
      <c r="G82" s="5" t="s">
        <v>155</v>
      </c>
      <c r="H82" s="5" t="s">
        <v>197</v>
      </c>
      <c r="I82" s="5" t="s">
        <v>4</v>
      </c>
      <c r="J82" s="5" t="s">
        <v>5</v>
      </c>
      <c r="K82" s="5" t="str" cm="1">
        <f t="array" ref="K82">_xlfn.SWITCH(_xlfn.TEXTAFTER(L82," of "),
  "Business","BB",
  "IT","BT",
  "Nursing","BN",
  "Engineering","BE",
  "")</f>
        <v>BE</v>
      </c>
      <c r="L82" s="5" t="s">
        <v>200</v>
      </c>
      <c r="M82" s="10">
        <v>1026.29</v>
      </c>
      <c r="N82" s="10">
        <v>821.91</v>
      </c>
      <c r="O82" s="5">
        <v>1</v>
      </c>
      <c r="P82" s="13">
        <v>371</v>
      </c>
      <c r="Q82" s="5" t="s">
        <v>198</v>
      </c>
      <c r="R82" s="5" t="s">
        <v>363</v>
      </c>
      <c r="S82" s="5" t="s">
        <v>208</v>
      </c>
      <c r="T82" s="5" t="s">
        <v>400</v>
      </c>
      <c r="U82" s="7">
        <f t="shared" si="6"/>
        <v>45645</v>
      </c>
      <c r="V82" s="7">
        <v>46740</v>
      </c>
      <c r="W82" s="5" t="s">
        <v>425</v>
      </c>
      <c r="X82" s="5" t="s">
        <v>183</v>
      </c>
      <c r="Y82" s="5" t="s">
        <v>7</v>
      </c>
      <c r="Z82" s="5" t="s">
        <v>17</v>
      </c>
      <c r="AA82" s="7">
        <v>45601</v>
      </c>
      <c r="AB82" s="5" t="str">
        <f t="shared" si="4"/>
        <v>T3</v>
      </c>
      <c r="AC82" s="13">
        <f t="shared" si="5"/>
        <v>2024</v>
      </c>
    </row>
    <row r="83" spans="1:29" x14ac:dyDescent="0.45">
      <c r="A83" s="5" t="s">
        <v>331</v>
      </c>
      <c r="B83" s="5" t="s">
        <v>78</v>
      </c>
      <c r="C83" s="5" t="s">
        <v>79</v>
      </c>
      <c r="D83" s="5">
        <v>24</v>
      </c>
      <c r="E83" s="7">
        <v>36779</v>
      </c>
      <c r="F83" s="5" t="s">
        <v>178</v>
      </c>
      <c r="G83" s="5" t="s">
        <v>78</v>
      </c>
      <c r="H83" s="5" t="s">
        <v>8</v>
      </c>
      <c r="I83" s="5" t="s">
        <v>4</v>
      </c>
      <c r="J83" s="5" t="s">
        <v>5</v>
      </c>
      <c r="K83" s="5" t="str" cm="1">
        <f t="array" ref="K83">_xlfn.SWITCH(_xlfn.TEXTAFTER(L83," of "),
  "Business","BB",
  "IT","BT",
  "Nursing","BN",
  "Engineering","BE",
  "")</f>
        <v>BN</v>
      </c>
      <c r="L83" s="5" t="s">
        <v>192</v>
      </c>
      <c r="M83" s="10">
        <v>1083.52</v>
      </c>
      <c r="N83" s="10">
        <v>869.04</v>
      </c>
      <c r="O83" s="5">
        <v>1</v>
      </c>
      <c r="P83" s="13">
        <v>204</v>
      </c>
      <c r="Q83" s="5" t="s">
        <v>181</v>
      </c>
      <c r="R83" s="5" t="s">
        <v>363</v>
      </c>
      <c r="S83" s="5" t="s">
        <v>6</v>
      </c>
      <c r="T83" s="5" t="s">
        <v>401</v>
      </c>
      <c r="U83" s="7">
        <f>EDATE(V83,-36)</f>
        <v>45382</v>
      </c>
      <c r="V83" s="7">
        <v>46477</v>
      </c>
      <c r="W83" s="5" t="s">
        <v>425</v>
      </c>
      <c r="X83" s="5" t="s">
        <v>12</v>
      </c>
      <c r="Y83" s="5" t="s">
        <v>7</v>
      </c>
      <c r="Z83" s="5" t="s">
        <v>7</v>
      </c>
      <c r="AA83" s="7">
        <v>45544</v>
      </c>
      <c r="AB83" s="5" t="str">
        <f t="shared" si="4"/>
        <v>T1</v>
      </c>
      <c r="AC83" s="13">
        <f t="shared" si="5"/>
        <v>2024</v>
      </c>
    </row>
    <row r="84" spans="1:29" x14ac:dyDescent="0.45">
      <c r="A84" s="5" t="s">
        <v>333</v>
      </c>
      <c r="B84" s="5" t="s">
        <v>50</v>
      </c>
      <c r="C84" s="5" t="s">
        <v>96</v>
      </c>
      <c r="D84" s="5">
        <v>19</v>
      </c>
      <c r="E84" s="7">
        <v>38464</v>
      </c>
      <c r="F84" s="5" t="s">
        <v>178</v>
      </c>
      <c r="G84" s="5" t="s">
        <v>50</v>
      </c>
      <c r="H84" s="5" t="s">
        <v>20</v>
      </c>
      <c r="I84" s="5" t="s">
        <v>4</v>
      </c>
      <c r="J84" s="5" t="s">
        <v>5</v>
      </c>
      <c r="K84" s="5" t="str" cm="1">
        <f t="array" ref="K84">_xlfn.SWITCH(_xlfn.TEXTAFTER(L84," of "),
  "Business","BB",
  "IT","BT",
  "Nursing","BN",
  "Engineering","BE",
  "")</f>
        <v>BB</v>
      </c>
      <c r="L84" s="5" t="s">
        <v>180</v>
      </c>
      <c r="M84" s="10">
        <v>945.22</v>
      </c>
      <c r="N84" s="10">
        <v>598.78</v>
      </c>
      <c r="O84" s="5">
        <v>1</v>
      </c>
      <c r="P84" s="13">
        <v>229</v>
      </c>
      <c r="Q84" s="5" t="s">
        <v>198</v>
      </c>
      <c r="R84" s="5" t="s">
        <v>363</v>
      </c>
      <c r="S84" s="5" t="s">
        <v>18</v>
      </c>
      <c r="T84" s="5" t="s">
        <v>402</v>
      </c>
      <c r="U84" s="7">
        <f t="shared" ref="U84:U96" si="7">EDATE(V84,-36)</f>
        <v>45645</v>
      </c>
      <c r="V84" s="7">
        <v>46740</v>
      </c>
      <c r="W84" s="5" t="s">
        <v>425</v>
      </c>
      <c r="X84" s="5" t="s">
        <v>12</v>
      </c>
      <c r="Y84" s="5" t="s">
        <v>7</v>
      </c>
      <c r="Z84" s="5" t="s">
        <v>7</v>
      </c>
      <c r="AA84" s="7">
        <v>45377</v>
      </c>
      <c r="AB84" s="5" t="str">
        <f t="shared" si="4"/>
        <v>T3</v>
      </c>
      <c r="AC84" s="13">
        <f t="shared" si="5"/>
        <v>2024</v>
      </c>
    </row>
    <row r="85" spans="1:29" x14ac:dyDescent="0.45">
      <c r="A85" s="5" t="s">
        <v>334</v>
      </c>
      <c r="B85" s="5" t="s">
        <v>55</v>
      </c>
      <c r="C85" s="5" t="s">
        <v>51</v>
      </c>
      <c r="D85" s="5">
        <v>18</v>
      </c>
      <c r="E85" s="7">
        <v>38816</v>
      </c>
      <c r="F85" s="5" t="s">
        <v>189</v>
      </c>
      <c r="G85" s="5" t="s">
        <v>55</v>
      </c>
      <c r="H85" s="5" t="s">
        <v>20</v>
      </c>
      <c r="I85" s="5" t="s">
        <v>297</v>
      </c>
      <c r="J85" s="5" t="s">
        <v>5</v>
      </c>
      <c r="K85" s="5" t="str" cm="1">
        <f t="array" ref="K85">_xlfn.SWITCH(_xlfn.TEXTAFTER(L85," of "),
  "Business","BB",
  "IT","BT",
  "Nursing","BN",
  "Engineering","BE",
  "")</f>
        <v>BT</v>
      </c>
      <c r="L85" s="5" t="s">
        <v>185</v>
      </c>
      <c r="M85" s="10">
        <v>899.38</v>
      </c>
      <c r="N85" s="10">
        <v>487.62</v>
      </c>
      <c r="O85" s="5">
        <v>1</v>
      </c>
      <c r="P85" s="13">
        <v>160</v>
      </c>
      <c r="Q85" s="5" t="s">
        <v>181</v>
      </c>
      <c r="R85" s="5" t="s">
        <v>363</v>
      </c>
      <c r="S85" s="5" t="s">
        <v>11</v>
      </c>
      <c r="T85" s="5" t="s">
        <v>403</v>
      </c>
      <c r="U85" s="7">
        <f t="shared" si="7"/>
        <v>45477</v>
      </c>
      <c r="V85" s="7">
        <v>46572</v>
      </c>
      <c r="W85" s="5" t="s">
        <v>425</v>
      </c>
      <c r="X85" s="5" t="s">
        <v>29</v>
      </c>
      <c r="Y85" s="5" t="s">
        <v>7</v>
      </c>
      <c r="Z85" s="5" t="s">
        <v>7</v>
      </c>
      <c r="AA85" s="7">
        <v>45129</v>
      </c>
      <c r="AB85" s="5" t="str">
        <f t="shared" si="4"/>
        <v>T2</v>
      </c>
      <c r="AC85" s="13">
        <f t="shared" si="5"/>
        <v>2024</v>
      </c>
    </row>
    <row r="86" spans="1:29" x14ac:dyDescent="0.45">
      <c r="A86" s="5" t="s">
        <v>336</v>
      </c>
      <c r="B86" s="5" t="s">
        <v>83</v>
      </c>
      <c r="C86" s="5" t="s">
        <v>59</v>
      </c>
      <c r="D86" s="5">
        <v>17</v>
      </c>
      <c r="E86" s="7">
        <v>39431</v>
      </c>
      <c r="F86" s="5" t="s">
        <v>216</v>
      </c>
      <c r="G86" s="5" t="s">
        <v>83</v>
      </c>
      <c r="H86" s="5" t="s">
        <v>8</v>
      </c>
      <c r="I86" s="5" t="s">
        <v>4</v>
      </c>
      <c r="J86" s="5" t="s">
        <v>5</v>
      </c>
      <c r="K86" s="5" t="str" cm="1">
        <f t="array" ref="K86">_xlfn.SWITCH(_xlfn.TEXTAFTER(L86," of "),
  "Business","BB",
  "IT","BT",
  "Nursing","BN",
  "Engineering","BE",
  "")</f>
        <v>BN</v>
      </c>
      <c r="L86" s="5" t="s">
        <v>192</v>
      </c>
      <c r="M86" s="10">
        <v>1016</v>
      </c>
      <c r="N86" s="10">
        <v>759.36</v>
      </c>
      <c r="O86" s="5">
        <v>1</v>
      </c>
      <c r="P86" s="13">
        <v>355</v>
      </c>
      <c r="Q86" s="5" t="s">
        <v>186</v>
      </c>
      <c r="R86" s="5" t="s">
        <v>363</v>
      </c>
      <c r="S86" s="5" t="s">
        <v>6</v>
      </c>
      <c r="T86" s="5" t="s">
        <v>404</v>
      </c>
      <c r="U86" s="7">
        <f t="shared" si="7"/>
        <v>45721</v>
      </c>
      <c r="V86" s="7">
        <v>46817</v>
      </c>
      <c r="W86" s="5" t="s">
        <v>425</v>
      </c>
      <c r="X86" s="5" t="s">
        <v>183</v>
      </c>
      <c r="Y86" s="5" t="s">
        <v>7</v>
      </c>
      <c r="Z86" s="5" t="s">
        <v>7</v>
      </c>
      <c r="AA86" s="7">
        <v>45369</v>
      </c>
      <c r="AB86" s="5" t="str">
        <f t="shared" si="4"/>
        <v>T1</v>
      </c>
      <c r="AC86" s="13">
        <f t="shared" si="5"/>
        <v>2025</v>
      </c>
    </row>
    <row r="87" spans="1:29" x14ac:dyDescent="0.45">
      <c r="A87" s="5" t="s">
        <v>337</v>
      </c>
      <c r="B87" s="5" t="s">
        <v>52</v>
      </c>
      <c r="C87" s="5" t="s">
        <v>39</v>
      </c>
      <c r="D87" s="5">
        <v>18</v>
      </c>
      <c r="E87" s="7">
        <v>39055</v>
      </c>
      <c r="F87" s="5" t="s">
        <v>178</v>
      </c>
      <c r="G87" s="5" t="s">
        <v>52</v>
      </c>
      <c r="H87" s="5" t="s">
        <v>8</v>
      </c>
      <c r="I87" s="5" t="s">
        <v>23</v>
      </c>
      <c r="J87" s="5" t="s">
        <v>5</v>
      </c>
      <c r="K87" s="5" t="str" cm="1">
        <f t="array" ref="K87">_xlfn.SWITCH(_xlfn.TEXTAFTER(L87," of "),
  "Business","BB",
  "IT","BT",
  "Nursing","BN",
  "Engineering","BE",
  "")</f>
        <v>BB</v>
      </c>
      <c r="L87" s="5" t="s">
        <v>180</v>
      </c>
      <c r="M87" s="10">
        <v>840.97</v>
      </c>
      <c r="N87" s="10">
        <v>586.78</v>
      </c>
      <c r="O87" s="5">
        <v>2</v>
      </c>
      <c r="P87" s="13">
        <v>158</v>
      </c>
      <c r="Q87" s="5" t="s">
        <v>186</v>
      </c>
      <c r="R87" s="5" t="s">
        <v>363</v>
      </c>
      <c r="S87" s="5" t="s">
        <v>11</v>
      </c>
      <c r="T87" s="5" t="s">
        <v>405</v>
      </c>
      <c r="U87" s="7">
        <f t="shared" si="7"/>
        <v>45477</v>
      </c>
      <c r="V87" s="7">
        <v>46572</v>
      </c>
      <c r="W87" s="5" t="s">
        <v>425</v>
      </c>
      <c r="X87" s="5" t="s">
        <v>29</v>
      </c>
      <c r="Y87" s="5" t="s">
        <v>7</v>
      </c>
      <c r="Z87" s="5" t="s">
        <v>17</v>
      </c>
      <c r="AA87" s="7">
        <v>45312</v>
      </c>
      <c r="AB87" s="5" t="str">
        <f t="shared" si="4"/>
        <v>T2</v>
      </c>
      <c r="AC87" s="13">
        <f t="shared" si="5"/>
        <v>2024</v>
      </c>
    </row>
    <row r="88" spans="1:29" x14ac:dyDescent="0.45">
      <c r="A88" s="5" t="s">
        <v>339</v>
      </c>
      <c r="B88" s="5" t="s">
        <v>160</v>
      </c>
      <c r="C88" s="5" t="s">
        <v>108</v>
      </c>
      <c r="D88" s="5">
        <v>26</v>
      </c>
      <c r="E88" s="7">
        <v>36105</v>
      </c>
      <c r="F88" s="5" t="s">
        <v>216</v>
      </c>
      <c r="G88" s="5" t="s">
        <v>160</v>
      </c>
      <c r="H88" s="5" t="s">
        <v>19</v>
      </c>
      <c r="I88" s="5" t="s">
        <v>4</v>
      </c>
      <c r="J88" s="5" t="s">
        <v>5</v>
      </c>
      <c r="K88" s="5" t="str" cm="1">
        <f t="array" ref="K88">_xlfn.SWITCH(_xlfn.TEXTAFTER(L88," of "),
  "Business","BB",
  "IT","BT",
  "Nursing","BN",
  "Engineering","BE",
  "")</f>
        <v>BT</v>
      </c>
      <c r="L88" s="5" t="s">
        <v>185</v>
      </c>
      <c r="M88" s="10">
        <v>983.8</v>
      </c>
      <c r="N88" s="10">
        <v>558.94000000000005</v>
      </c>
      <c r="O88" s="5">
        <v>1</v>
      </c>
      <c r="P88" s="13">
        <v>783</v>
      </c>
      <c r="Q88" s="5" t="s">
        <v>181</v>
      </c>
      <c r="R88" s="5" t="s">
        <v>9</v>
      </c>
      <c r="S88" s="5" t="s">
        <v>18</v>
      </c>
      <c r="T88" s="5" t="s">
        <v>406</v>
      </c>
      <c r="U88" s="7">
        <f t="shared" si="7"/>
        <v>45721</v>
      </c>
      <c r="V88" s="7">
        <v>46817</v>
      </c>
      <c r="W88" s="5" t="s">
        <v>425</v>
      </c>
      <c r="X88" s="5" t="s">
        <v>12</v>
      </c>
      <c r="Y88" s="5" t="s">
        <v>7</v>
      </c>
      <c r="Z88" s="5" t="s">
        <v>7</v>
      </c>
      <c r="AA88" s="7">
        <v>45480</v>
      </c>
      <c r="AB88" s="5" t="str">
        <f t="shared" si="4"/>
        <v>T1</v>
      </c>
      <c r="AC88" s="13">
        <f t="shared" si="5"/>
        <v>2025</v>
      </c>
    </row>
    <row r="89" spans="1:29" x14ac:dyDescent="0.45">
      <c r="A89" s="5" t="s">
        <v>341</v>
      </c>
      <c r="B89" s="5" t="s">
        <v>53</v>
      </c>
      <c r="C89" s="5" t="s">
        <v>54</v>
      </c>
      <c r="D89" s="5">
        <v>23</v>
      </c>
      <c r="E89" s="7">
        <v>37099</v>
      </c>
      <c r="F89" s="5" t="s">
        <v>189</v>
      </c>
      <c r="G89" s="5" t="s">
        <v>53</v>
      </c>
      <c r="H89" s="5" t="s">
        <v>197</v>
      </c>
      <c r="I89" s="5" t="s">
        <v>4</v>
      </c>
      <c r="J89" s="5" t="s">
        <v>5</v>
      </c>
      <c r="K89" s="5" t="str" cm="1">
        <f t="array" ref="K89">_xlfn.SWITCH(_xlfn.TEXTAFTER(L89," of "),
  "Business","BB",
  "IT","BT",
  "Nursing","BN",
  "Engineering","BE",
  "")</f>
        <v>BB</v>
      </c>
      <c r="L89" s="5" t="s">
        <v>180</v>
      </c>
      <c r="M89" s="10">
        <v>894.51</v>
      </c>
      <c r="N89" s="10">
        <v>395.83</v>
      </c>
      <c r="O89" s="5">
        <v>1</v>
      </c>
      <c r="P89" s="13">
        <v>159</v>
      </c>
      <c r="Q89" s="5" t="s">
        <v>198</v>
      </c>
      <c r="R89" s="5" t="s">
        <v>9</v>
      </c>
      <c r="S89" s="5" t="s">
        <v>11</v>
      </c>
      <c r="T89" s="5" t="s">
        <v>407</v>
      </c>
      <c r="U89" s="7">
        <f t="shared" si="7"/>
        <v>45477</v>
      </c>
      <c r="V89" s="7">
        <v>46572</v>
      </c>
      <c r="W89" s="5" t="s">
        <v>425</v>
      </c>
      <c r="X89" s="5" t="s">
        <v>183</v>
      </c>
      <c r="Y89" s="5" t="s">
        <v>7</v>
      </c>
      <c r="Z89" s="5" t="s">
        <v>7</v>
      </c>
      <c r="AA89" s="7">
        <v>45070</v>
      </c>
      <c r="AB89" s="5" t="str">
        <f t="shared" si="4"/>
        <v>T2</v>
      </c>
      <c r="AC89" s="13">
        <f t="shared" si="5"/>
        <v>2024</v>
      </c>
    </row>
    <row r="90" spans="1:29" x14ac:dyDescent="0.45">
      <c r="A90" s="5" t="s">
        <v>343</v>
      </c>
      <c r="B90" s="5" t="s">
        <v>31</v>
      </c>
      <c r="C90" s="5" t="s">
        <v>96</v>
      </c>
      <c r="D90" s="5">
        <v>29</v>
      </c>
      <c r="E90" s="7">
        <v>34868</v>
      </c>
      <c r="F90" s="5" t="s">
        <v>216</v>
      </c>
      <c r="G90" s="5" t="s">
        <v>31</v>
      </c>
      <c r="H90" s="5" t="s">
        <v>8</v>
      </c>
      <c r="I90" s="5" t="s">
        <v>202</v>
      </c>
      <c r="J90" s="5" t="s">
        <v>5</v>
      </c>
      <c r="K90" s="5" t="str" cm="1">
        <f t="array" ref="K90">_xlfn.SWITCH(_xlfn.TEXTAFTER(L90," of "),
  "Business","BB",
  "IT","BT",
  "Nursing","BN",
  "Engineering","BE",
  "")</f>
        <v>BT</v>
      </c>
      <c r="L90" s="5" t="s">
        <v>185</v>
      </c>
      <c r="M90" s="10">
        <v>898.51</v>
      </c>
      <c r="N90" s="10">
        <v>661.35</v>
      </c>
      <c r="O90" s="5">
        <v>3</v>
      </c>
      <c r="P90" s="13">
        <v>5</v>
      </c>
      <c r="Q90" s="5" t="s">
        <v>198</v>
      </c>
      <c r="R90" s="5" t="s">
        <v>9</v>
      </c>
      <c r="S90" s="5" t="s">
        <v>26</v>
      </c>
      <c r="T90" s="5" t="s">
        <v>408</v>
      </c>
      <c r="U90" s="7">
        <f t="shared" si="7"/>
        <v>45268</v>
      </c>
      <c r="V90" s="7">
        <v>46364</v>
      </c>
      <c r="W90" s="5" t="s">
        <v>344</v>
      </c>
      <c r="X90" s="5" t="s">
        <v>183</v>
      </c>
      <c r="Y90" s="5" t="s">
        <v>7</v>
      </c>
      <c r="Z90" s="5" t="s">
        <v>7</v>
      </c>
      <c r="AA90" s="7">
        <v>45147</v>
      </c>
      <c r="AB90" s="5" t="str">
        <f t="shared" si="4"/>
        <v>T3</v>
      </c>
      <c r="AC90" s="13">
        <f t="shared" si="5"/>
        <v>2023</v>
      </c>
    </row>
    <row r="91" spans="1:29" x14ac:dyDescent="0.45">
      <c r="A91" s="5" t="s">
        <v>345</v>
      </c>
      <c r="B91" s="5" t="s">
        <v>101</v>
      </c>
      <c r="C91" s="5" t="s">
        <v>138</v>
      </c>
      <c r="D91" s="5">
        <v>24</v>
      </c>
      <c r="E91" s="7">
        <v>36686</v>
      </c>
      <c r="F91" s="5" t="s">
        <v>189</v>
      </c>
      <c r="G91" s="5" t="s">
        <v>101</v>
      </c>
      <c r="H91" s="5" t="s">
        <v>10</v>
      </c>
      <c r="I91" s="5" t="s">
        <v>4</v>
      </c>
      <c r="J91" s="5" t="s">
        <v>5</v>
      </c>
      <c r="K91" s="5" t="str" cm="1">
        <f t="array" ref="K91">_xlfn.SWITCH(_xlfn.TEXTAFTER(L91," of "),
  "Business","BB",
  "IT","BT",
  "Nursing","BN",
  "Engineering","BE",
  "")</f>
        <v>BB</v>
      </c>
      <c r="L91" s="5" t="s">
        <v>180</v>
      </c>
      <c r="M91" s="10">
        <v>900.15</v>
      </c>
      <c r="N91" s="10">
        <v>466.37</v>
      </c>
      <c r="O91" s="5">
        <v>1</v>
      </c>
      <c r="P91" s="13">
        <v>353</v>
      </c>
      <c r="Q91" s="5" t="s">
        <v>181</v>
      </c>
      <c r="R91" s="5" t="s">
        <v>9</v>
      </c>
      <c r="S91" s="5" t="s">
        <v>13</v>
      </c>
      <c r="T91" s="5" t="s">
        <v>409</v>
      </c>
      <c r="U91" s="7">
        <f t="shared" si="7"/>
        <v>45382</v>
      </c>
      <c r="V91" s="7">
        <v>46477</v>
      </c>
      <c r="W91" s="5" t="s">
        <v>344</v>
      </c>
      <c r="X91" s="5" t="s">
        <v>29</v>
      </c>
      <c r="Y91" s="5" t="s">
        <v>7</v>
      </c>
      <c r="Z91" s="5" t="s">
        <v>7</v>
      </c>
      <c r="AA91" s="7">
        <v>45227</v>
      </c>
      <c r="AB91" s="5" t="str">
        <f t="shared" si="4"/>
        <v>T1</v>
      </c>
      <c r="AC91" s="13">
        <f t="shared" si="5"/>
        <v>2024</v>
      </c>
    </row>
    <row r="92" spans="1:29" x14ac:dyDescent="0.45">
      <c r="A92" s="5" t="s">
        <v>347</v>
      </c>
      <c r="B92" s="5" t="s">
        <v>32</v>
      </c>
      <c r="C92" s="5" t="s">
        <v>130</v>
      </c>
      <c r="D92" s="5">
        <v>20</v>
      </c>
      <c r="E92" s="7">
        <v>38275</v>
      </c>
      <c r="F92" s="5" t="s">
        <v>178</v>
      </c>
      <c r="G92" s="5" t="s">
        <v>32</v>
      </c>
      <c r="H92" s="5" t="s">
        <v>8</v>
      </c>
      <c r="I92" s="5" t="s">
        <v>4</v>
      </c>
      <c r="J92" s="5" t="s">
        <v>5</v>
      </c>
      <c r="K92" s="5" t="str" cm="1">
        <f t="array" ref="K92">_xlfn.SWITCH(_xlfn.TEXTAFTER(L92," of "),
  "Business","BB",
  "IT","BT",
  "Nursing","BN",
  "Engineering","BE",
  "")</f>
        <v>BN</v>
      </c>
      <c r="L92" s="5" t="s">
        <v>192</v>
      </c>
      <c r="M92" s="10">
        <v>1038.81</v>
      </c>
      <c r="N92" s="10">
        <v>853.45</v>
      </c>
      <c r="O92" s="5">
        <v>1</v>
      </c>
      <c r="P92" s="13">
        <v>434</v>
      </c>
      <c r="Q92" s="5" t="s">
        <v>198</v>
      </c>
      <c r="R92" s="5" t="s">
        <v>24</v>
      </c>
      <c r="S92" s="5" t="s">
        <v>249</v>
      </c>
      <c r="T92" s="5" t="s">
        <v>410</v>
      </c>
      <c r="U92" s="7">
        <f t="shared" si="7"/>
        <v>45657</v>
      </c>
      <c r="V92" s="7">
        <v>46752</v>
      </c>
      <c r="W92" s="5" t="s">
        <v>344</v>
      </c>
      <c r="X92" s="5" t="s">
        <v>12</v>
      </c>
      <c r="Y92" s="5" t="s">
        <v>7</v>
      </c>
      <c r="Z92" s="5" t="s">
        <v>7</v>
      </c>
      <c r="AA92" s="7">
        <v>45333</v>
      </c>
      <c r="AB92" s="5" t="str">
        <f t="shared" si="4"/>
        <v>T3</v>
      </c>
      <c r="AC92" s="13">
        <f t="shared" si="5"/>
        <v>2024</v>
      </c>
    </row>
    <row r="93" spans="1:29" x14ac:dyDescent="0.45">
      <c r="A93" s="5" t="s">
        <v>349</v>
      </c>
      <c r="B93" s="5" t="s">
        <v>45</v>
      </c>
      <c r="C93" s="5" t="s">
        <v>74</v>
      </c>
      <c r="D93" s="5">
        <v>29</v>
      </c>
      <c r="E93" s="7">
        <v>35003</v>
      </c>
      <c r="F93" s="5" t="s">
        <v>216</v>
      </c>
      <c r="G93" s="5" t="s">
        <v>45</v>
      </c>
      <c r="H93" s="5" t="s">
        <v>10</v>
      </c>
      <c r="I93" s="5" t="s">
        <v>4</v>
      </c>
      <c r="J93" s="5" t="s">
        <v>5</v>
      </c>
      <c r="K93" s="5" t="str" cm="1">
        <f t="array" ref="K93">_xlfn.SWITCH(_xlfn.TEXTAFTER(L93," of "),
  "Business","BB",
  "IT","BT",
  "Nursing","BN",
  "Engineering","BE",
  "")</f>
        <v>BB</v>
      </c>
      <c r="L93" s="5" t="s">
        <v>180</v>
      </c>
      <c r="M93" s="10">
        <v>928.27</v>
      </c>
      <c r="N93" s="10">
        <v>471.97</v>
      </c>
      <c r="O93" s="5">
        <v>1</v>
      </c>
      <c r="P93" s="13">
        <v>535</v>
      </c>
      <c r="Q93" s="5" t="s">
        <v>198</v>
      </c>
      <c r="R93" s="5" t="s">
        <v>24</v>
      </c>
      <c r="S93" s="5" t="s">
        <v>18</v>
      </c>
      <c r="T93" s="5" t="s">
        <v>411</v>
      </c>
      <c r="U93" s="7">
        <f t="shared" si="7"/>
        <v>45721</v>
      </c>
      <c r="V93" s="7">
        <v>46817</v>
      </c>
      <c r="W93" s="5" t="s">
        <v>344</v>
      </c>
      <c r="X93" s="5" t="s">
        <v>12</v>
      </c>
      <c r="Y93" s="5" t="s">
        <v>7</v>
      </c>
      <c r="Z93" s="5" t="s">
        <v>7</v>
      </c>
      <c r="AA93" s="7">
        <v>45340</v>
      </c>
      <c r="AB93" s="5" t="str">
        <f t="shared" si="4"/>
        <v>T1</v>
      </c>
      <c r="AC93" s="13">
        <f t="shared" si="5"/>
        <v>2025</v>
      </c>
    </row>
    <row r="94" spans="1:29" x14ac:dyDescent="0.45">
      <c r="A94" s="5" t="s">
        <v>351</v>
      </c>
      <c r="B94" s="5" t="s">
        <v>47</v>
      </c>
      <c r="C94" s="5" t="s">
        <v>73</v>
      </c>
      <c r="D94" s="5">
        <v>28</v>
      </c>
      <c r="E94" s="7">
        <v>35199</v>
      </c>
      <c r="F94" s="5" t="s">
        <v>178</v>
      </c>
      <c r="G94" s="5" t="s">
        <v>47</v>
      </c>
      <c r="H94" s="5" t="s">
        <v>179</v>
      </c>
      <c r="I94" s="5" t="s">
        <v>4</v>
      </c>
      <c r="J94" s="5" t="s">
        <v>5</v>
      </c>
      <c r="K94" s="5" t="str" cm="1">
        <f t="array" ref="K94">_xlfn.SWITCH(_xlfn.TEXTAFTER(L94," of "),
  "Business","BB",
  "IT","BT",
  "Nursing","BN",
  "Engineering","BE",
  "")</f>
        <v>BT</v>
      </c>
      <c r="L94" s="5" t="s">
        <v>185</v>
      </c>
      <c r="M94" s="10">
        <v>941.82</v>
      </c>
      <c r="N94" s="10">
        <v>428.76</v>
      </c>
      <c r="O94" s="5">
        <v>1</v>
      </c>
      <c r="P94" s="13">
        <v>469</v>
      </c>
      <c r="Q94" s="5" t="s">
        <v>198</v>
      </c>
      <c r="R94" s="5" t="s">
        <v>24</v>
      </c>
      <c r="S94" s="5" t="s">
        <v>18</v>
      </c>
      <c r="T94" s="5" t="s">
        <v>412</v>
      </c>
      <c r="U94" s="7">
        <f t="shared" si="7"/>
        <v>45645</v>
      </c>
      <c r="V94" s="7">
        <v>46740</v>
      </c>
      <c r="W94" s="5" t="s">
        <v>344</v>
      </c>
      <c r="X94" s="5" t="s">
        <v>29</v>
      </c>
      <c r="Y94" s="5" t="s">
        <v>7</v>
      </c>
      <c r="Z94" s="5" t="s">
        <v>7</v>
      </c>
      <c r="AA94" s="7">
        <v>45436</v>
      </c>
      <c r="AB94" s="5" t="str">
        <f t="shared" si="4"/>
        <v>T3</v>
      </c>
      <c r="AC94" s="13">
        <f t="shared" si="5"/>
        <v>2024</v>
      </c>
    </row>
    <row r="95" spans="1:29" x14ac:dyDescent="0.45">
      <c r="A95" s="5" t="s">
        <v>353</v>
      </c>
      <c r="B95" s="5" t="s">
        <v>139</v>
      </c>
      <c r="C95" s="5" t="s">
        <v>95</v>
      </c>
      <c r="D95" s="5">
        <v>23</v>
      </c>
      <c r="E95" s="7">
        <v>37019</v>
      </c>
      <c r="F95" s="5" t="s">
        <v>189</v>
      </c>
      <c r="G95" s="5" t="s">
        <v>139</v>
      </c>
      <c r="H95" s="5" t="s">
        <v>179</v>
      </c>
      <c r="I95" s="5" t="s">
        <v>297</v>
      </c>
      <c r="J95" s="5" t="s">
        <v>5</v>
      </c>
      <c r="K95" s="5" t="str" cm="1">
        <f t="array" ref="K95">_xlfn.SWITCH(_xlfn.TEXTAFTER(L95," of "),
  "Business","BB",
  "IT","BT",
  "Nursing","BN",
  "Engineering","BE",
  "")</f>
        <v>BN</v>
      </c>
      <c r="L95" s="5" t="s">
        <v>192</v>
      </c>
      <c r="M95" s="10">
        <v>1079.06</v>
      </c>
      <c r="N95" s="10">
        <v>835.19</v>
      </c>
      <c r="O95" s="5">
        <v>1</v>
      </c>
      <c r="P95" s="13">
        <v>99</v>
      </c>
      <c r="Q95" s="5" t="s">
        <v>186</v>
      </c>
      <c r="R95" s="5" t="s">
        <v>24</v>
      </c>
      <c r="S95" s="5" t="s">
        <v>18</v>
      </c>
      <c r="T95" s="5" t="s">
        <v>413</v>
      </c>
      <c r="U95" s="7">
        <f t="shared" si="7"/>
        <v>45477</v>
      </c>
      <c r="V95" s="7">
        <v>46572</v>
      </c>
      <c r="W95" s="5" t="s">
        <v>344</v>
      </c>
      <c r="X95" s="5" t="s">
        <v>183</v>
      </c>
      <c r="Y95" s="5" t="s">
        <v>7</v>
      </c>
      <c r="Z95" s="5" t="s">
        <v>7</v>
      </c>
      <c r="AA95" s="7">
        <v>45156</v>
      </c>
      <c r="AB95" s="5" t="str">
        <f t="shared" si="4"/>
        <v>T2</v>
      </c>
      <c r="AC95" s="13">
        <f t="shared" si="5"/>
        <v>2024</v>
      </c>
    </row>
    <row r="96" spans="1:29" x14ac:dyDescent="0.45">
      <c r="A96" s="5" t="s">
        <v>354</v>
      </c>
      <c r="B96" s="5" t="s">
        <v>169</v>
      </c>
      <c r="C96" s="5" t="s">
        <v>71</v>
      </c>
      <c r="D96" s="5">
        <v>25</v>
      </c>
      <c r="E96" s="7">
        <v>36336</v>
      </c>
      <c r="F96" s="5" t="s">
        <v>216</v>
      </c>
      <c r="G96" s="5" t="s">
        <v>169</v>
      </c>
      <c r="H96" s="5" t="s">
        <v>197</v>
      </c>
      <c r="I96" s="5" t="s">
        <v>4</v>
      </c>
      <c r="J96" s="5" t="s">
        <v>5</v>
      </c>
      <c r="K96" s="5" t="str" cm="1">
        <f t="array" ref="K96">_xlfn.SWITCH(_xlfn.TEXTAFTER(L96," of "),
  "Business","BB",
  "IT","BT",
  "Nursing","BN",
  "Engineering","BE",
  "")</f>
        <v>BB</v>
      </c>
      <c r="L96" s="5" t="s">
        <v>180</v>
      </c>
      <c r="M96" s="10">
        <v>871.42</v>
      </c>
      <c r="N96" s="10">
        <v>408.68</v>
      </c>
      <c r="O96" s="5">
        <v>1</v>
      </c>
      <c r="P96" s="13">
        <v>400</v>
      </c>
      <c r="Q96" s="5" t="s">
        <v>198</v>
      </c>
      <c r="R96" s="5" t="s">
        <v>24</v>
      </c>
      <c r="S96" s="5" t="s">
        <v>14</v>
      </c>
      <c r="T96" s="5" t="s">
        <v>414</v>
      </c>
      <c r="U96" s="7">
        <f t="shared" si="7"/>
        <v>45382</v>
      </c>
      <c r="V96" s="7">
        <v>46477</v>
      </c>
      <c r="W96" s="5" t="s">
        <v>344</v>
      </c>
      <c r="X96" s="5" t="s">
        <v>12</v>
      </c>
      <c r="Y96" s="5" t="s">
        <v>7</v>
      </c>
      <c r="Z96" s="5" t="s">
        <v>7</v>
      </c>
      <c r="AA96" s="7">
        <v>45376</v>
      </c>
      <c r="AB96" s="5" t="str">
        <f t="shared" si="4"/>
        <v>T1</v>
      </c>
      <c r="AC96" s="13">
        <f t="shared" si="5"/>
        <v>2024</v>
      </c>
    </row>
    <row r="97" spans="1:29" x14ac:dyDescent="0.45">
      <c r="A97" s="5" t="s">
        <v>355</v>
      </c>
      <c r="B97" s="5" t="s">
        <v>173</v>
      </c>
      <c r="C97" s="5" t="s">
        <v>154</v>
      </c>
      <c r="D97" s="5">
        <v>24</v>
      </c>
      <c r="E97" s="7">
        <v>36547</v>
      </c>
      <c r="F97" s="5" t="s">
        <v>178</v>
      </c>
      <c r="G97" s="5" t="s">
        <v>173</v>
      </c>
      <c r="H97" s="5" t="s">
        <v>10</v>
      </c>
      <c r="I97" s="5" t="s">
        <v>202</v>
      </c>
      <c r="J97" s="5" t="s">
        <v>5</v>
      </c>
      <c r="K97" s="5" t="str" cm="1">
        <f t="array" ref="K97">_xlfn.SWITCH(_xlfn.TEXTAFTER(L97," of "),
  "Business","BB",
  "IT","BT",
  "Nursing","BN",
  "Engineering","BE",
  "")</f>
        <v>BN</v>
      </c>
      <c r="L97" s="5" t="s">
        <v>192</v>
      </c>
      <c r="M97" s="10">
        <v>1122.93</v>
      </c>
      <c r="N97" s="10">
        <v>539.76</v>
      </c>
      <c r="O97" s="5">
        <v>2</v>
      </c>
      <c r="P97" s="13">
        <v>269</v>
      </c>
      <c r="Q97" s="5" t="s">
        <v>193</v>
      </c>
      <c r="R97" s="5" t="s">
        <v>24</v>
      </c>
      <c r="S97" s="5" t="s">
        <v>6</v>
      </c>
      <c r="T97" s="5" t="s">
        <v>415</v>
      </c>
      <c r="U97" s="7">
        <f>EDATE(V97,-36)</f>
        <v>45645</v>
      </c>
      <c r="V97" s="7">
        <v>46740</v>
      </c>
      <c r="W97" s="5" t="s">
        <v>344</v>
      </c>
      <c r="X97" s="5" t="s">
        <v>12</v>
      </c>
      <c r="Y97" s="5" t="s">
        <v>7</v>
      </c>
      <c r="Z97" s="5" t="s">
        <v>17</v>
      </c>
      <c r="AA97" s="7">
        <v>45073</v>
      </c>
      <c r="AB97" s="5" t="str">
        <f t="shared" si="4"/>
        <v>T3</v>
      </c>
      <c r="AC97" s="13">
        <f t="shared" si="5"/>
        <v>2024</v>
      </c>
    </row>
    <row r="98" spans="1:29" x14ac:dyDescent="0.45">
      <c r="A98" s="5" t="s">
        <v>356</v>
      </c>
      <c r="B98" s="5" t="s">
        <v>131</v>
      </c>
      <c r="C98" s="5" t="s">
        <v>62</v>
      </c>
      <c r="D98" s="5">
        <v>22</v>
      </c>
      <c r="E98" s="7">
        <v>37414</v>
      </c>
      <c r="F98" s="5" t="s">
        <v>189</v>
      </c>
      <c r="G98" s="5" t="s">
        <v>131</v>
      </c>
      <c r="H98" s="5" t="s">
        <v>8</v>
      </c>
      <c r="I98" s="5" t="s">
        <v>297</v>
      </c>
      <c r="J98" s="5" t="s">
        <v>5</v>
      </c>
      <c r="K98" s="5" t="str" cm="1">
        <f t="array" ref="K98">_xlfn.SWITCH(_xlfn.TEXTAFTER(L98," of "),
  "Business","BB",
  "IT","BT",
  "Nursing","BN",
  "Engineering","BE",
  "")</f>
        <v>BB</v>
      </c>
      <c r="L98" s="5" t="s">
        <v>180</v>
      </c>
      <c r="M98" s="10">
        <v>880.1</v>
      </c>
      <c r="N98" s="10">
        <v>589.41999999999996</v>
      </c>
      <c r="O98" s="5">
        <v>1</v>
      </c>
      <c r="P98" s="13">
        <v>90</v>
      </c>
      <c r="Q98" s="5" t="s">
        <v>193</v>
      </c>
      <c r="R98" s="5" t="s">
        <v>30</v>
      </c>
      <c r="S98" s="5" t="s">
        <v>6</v>
      </c>
      <c r="T98" s="5" t="s">
        <v>416</v>
      </c>
      <c r="U98" s="7">
        <f t="shared" ref="U98:U101" si="8">EDATE(V98,-36)</f>
        <v>45477</v>
      </c>
      <c r="V98" s="7">
        <v>46572</v>
      </c>
      <c r="W98" s="5" t="s">
        <v>344</v>
      </c>
      <c r="X98" s="5" t="s">
        <v>12</v>
      </c>
      <c r="Y98" s="5" t="s">
        <v>7</v>
      </c>
      <c r="Z98" s="5" t="s">
        <v>7</v>
      </c>
      <c r="AA98" s="7">
        <v>45414</v>
      </c>
      <c r="AB98" s="5" t="str">
        <f t="shared" si="4"/>
        <v>T2</v>
      </c>
      <c r="AC98" s="13">
        <f t="shared" si="5"/>
        <v>2024</v>
      </c>
    </row>
    <row r="99" spans="1:29" x14ac:dyDescent="0.45">
      <c r="A99" s="5" t="s">
        <v>358</v>
      </c>
      <c r="B99" s="5" t="s">
        <v>105</v>
      </c>
      <c r="C99" s="5" t="s">
        <v>43</v>
      </c>
      <c r="D99" s="5">
        <v>18</v>
      </c>
      <c r="E99" s="7">
        <v>38947</v>
      </c>
      <c r="F99" s="5" t="s">
        <v>189</v>
      </c>
      <c r="G99" s="5" t="s">
        <v>105</v>
      </c>
      <c r="H99" s="5" t="s">
        <v>10</v>
      </c>
      <c r="I99" s="5" t="s">
        <v>4</v>
      </c>
      <c r="J99" s="5" t="s">
        <v>5</v>
      </c>
      <c r="K99" s="5" t="str" cm="1">
        <f t="array" ref="K99">_xlfn.SWITCH(_xlfn.TEXTAFTER(L99," of "),
  "Business","BB",
  "IT","BT",
  "Nursing","BN",
  "Engineering","BE",
  "")</f>
        <v>BE</v>
      </c>
      <c r="L99" s="5" t="s">
        <v>200</v>
      </c>
      <c r="M99" s="10">
        <v>934.02</v>
      </c>
      <c r="N99" s="10">
        <v>741.19</v>
      </c>
      <c r="O99" s="5">
        <v>1</v>
      </c>
      <c r="P99" s="13">
        <v>667</v>
      </c>
      <c r="Q99" s="5" t="s">
        <v>198</v>
      </c>
      <c r="R99" s="5" t="s">
        <v>30</v>
      </c>
      <c r="S99" s="5" t="s">
        <v>18</v>
      </c>
      <c r="T99" s="5" t="s">
        <v>417</v>
      </c>
      <c r="U99" s="7">
        <f t="shared" si="8"/>
        <v>45854</v>
      </c>
      <c r="V99" s="7">
        <v>46950</v>
      </c>
      <c r="W99" s="5" t="s">
        <v>344</v>
      </c>
      <c r="X99" s="5" t="s">
        <v>183</v>
      </c>
      <c r="Y99" s="5" t="s">
        <v>7</v>
      </c>
      <c r="Z99" s="5" t="s">
        <v>7</v>
      </c>
      <c r="AA99" s="7">
        <v>45433</v>
      </c>
      <c r="AB99" s="5" t="str">
        <f t="shared" si="4"/>
        <v>T2</v>
      </c>
      <c r="AC99" s="13">
        <f t="shared" si="5"/>
        <v>2025</v>
      </c>
    </row>
    <row r="100" spans="1:29" x14ac:dyDescent="0.45">
      <c r="A100" s="5" t="s">
        <v>360</v>
      </c>
      <c r="B100" s="5" t="s">
        <v>35</v>
      </c>
      <c r="C100" s="5" t="s">
        <v>119</v>
      </c>
      <c r="D100" s="5">
        <v>17</v>
      </c>
      <c r="E100" s="7">
        <v>39133</v>
      </c>
      <c r="F100" s="5" t="s">
        <v>189</v>
      </c>
      <c r="G100" s="5" t="s">
        <v>35</v>
      </c>
      <c r="H100" s="5" t="s">
        <v>8</v>
      </c>
      <c r="I100" s="5" t="s">
        <v>4</v>
      </c>
      <c r="J100" s="5" t="s">
        <v>5</v>
      </c>
      <c r="K100" s="5" t="str" cm="1">
        <f t="array" ref="K100">_xlfn.SWITCH(_xlfn.TEXTAFTER(L100," of "),
  "Business","BB",
  "IT","BT",
  "Nursing","BN",
  "Engineering","BE",
  "")</f>
        <v>BB</v>
      </c>
      <c r="L100" s="5" t="s">
        <v>180</v>
      </c>
      <c r="M100" s="10">
        <v>844.99</v>
      </c>
      <c r="N100" s="10">
        <v>412.69</v>
      </c>
      <c r="O100" s="5">
        <v>4</v>
      </c>
      <c r="P100" s="13">
        <v>668</v>
      </c>
      <c r="Q100" s="5" t="s">
        <v>181</v>
      </c>
      <c r="R100" s="5" t="s">
        <v>30</v>
      </c>
      <c r="S100" s="5" t="s">
        <v>235</v>
      </c>
      <c r="T100" s="5" t="s">
        <v>418</v>
      </c>
      <c r="U100" s="7">
        <f t="shared" si="8"/>
        <v>45721</v>
      </c>
      <c r="V100" s="7">
        <v>46817</v>
      </c>
      <c r="W100" s="5" t="s">
        <v>344</v>
      </c>
      <c r="X100" s="5" t="s">
        <v>12</v>
      </c>
      <c r="Y100" s="5" t="s">
        <v>7</v>
      </c>
      <c r="Z100" s="5" t="s">
        <v>7</v>
      </c>
      <c r="AA100" s="7">
        <v>45551</v>
      </c>
      <c r="AB100" s="5" t="str">
        <f t="shared" si="4"/>
        <v>T1</v>
      </c>
      <c r="AC100" s="13">
        <f t="shared" si="5"/>
        <v>2025</v>
      </c>
    </row>
    <row r="101" spans="1:29" x14ac:dyDescent="0.45">
      <c r="A101" s="5" t="s">
        <v>362</v>
      </c>
      <c r="B101" s="5" t="s">
        <v>40</v>
      </c>
      <c r="C101" s="5" t="s">
        <v>91</v>
      </c>
      <c r="D101" s="5">
        <v>18</v>
      </c>
      <c r="E101" s="7">
        <v>38981</v>
      </c>
      <c r="F101" s="5" t="s">
        <v>189</v>
      </c>
      <c r="G101" s="5" t="s">
        <v>40</v>
      </c>
      <c r="H101" s="5" t="s">
        <v>19</v>
      </c>
      <c r="I101" s="5" t="s">
        <v>4</v>
      </c>
      <c r="J101" s="5" t="s">
        <v>5</v>
      </c>
      <c r="K101" s="5" t="str" cm="1">
        <f t="array" ref="K101">_xlfn.SWITCH(_xlfn.TEXTAFTER(L101," of "),
  "Business","BB",
  "IT","BT",
  "Nursing","BN",
  "Engineering","BE",
  "")</f>
        <v>BE</v>
      </c>
      <c r="L101" s="5" t="s">
        <v>200</v>
      </c>
      <c r="M101" s="10">
        <v>1073.9000000000001</v>
      </c>
      <c r="N101" s="10">
        <v>579.53</v>
      </c>
      <c r="O101" s="5">
        <v>1</v>
      </c>
      <c r="P101" s="13">
        <v>460</v>
      </c>
      <c r="Q101" s="5" t="s">
        <v>181</v>
      </c>
      <c r="R101" s="5" t="s">
        <v>30</v>
      </c>
      <c r="S101" s="5" t="s">
        <v>18</v>
      </c>
      <c r="T101" s="5" t="s">
        <v>419</v>
      </c>
      <c r="U101" s="7">
        <f t="shared" si="8"/>
        <v>45645</v>
      </c>
      <c r="V101" s="7">
        <v>46740</v>
      </c>
      <c r="W101" s="5" t="s">
        <v>344</v>
      </c>
      <c r="X101" s="5" t="s">
        <v>183</v>
      </c>
      <c r="Y101" s="5" t="s">
        <v>7</v>
      </c>
      <c r="Z101" s="5" t="s">
        <v>7</v>
      </c>
      <c r="AA101" s="7">
        <v>45293</v>
      </c>
      <c r="AB101" s="5" t="str">
        <f t="shared" si="4"/>
        <v>T3</v>
      </c>
      <c r="AC101" s="13">
        <f>YEAR(U101)</f>
        <v>2024</v>
      </c>
    </row>
    <row r="102" spans="1:29" x14ac:dyDescent="0.45">
      <c r="C102" s="2"/>
      <c r="D102" s="2"/>
      <c r="K102" s="5"/>
      <c r="O102" s="3"/>
      <c r="W102" s="5"/>
    </row>
    <row r="103" spans="1:29" x14ac:dyDescent="0.45">
      <c r="C103" s="2"/>
      <c r="D103" s="2"/>
      <c r="K103" s="5"/>
      <c r="O103" s="3"/>
      <c r="W103" s="5"/>
    </row>
    <row r="104" spans="1:29" x14ac:dyDescent="0.45">
      <c r="C104" s="2"/>
      <c r="D104" s="2"/>
      <c r="O104" s="3"/>
      <c r="W104" s="5"/>
    </row>
    <row r="105" spans="1:29" x14ac:dyDescent="0.45">
      <c r="C105" s="2"/>
      <c r="D105" s="2"/>
      <c r="O105" s="3"/>
    </row>
    <row r="106" spans="1:29" x14ac:dyDescent="0.45">
      <c r="C106" s="2"/>
      <c r="D106" s="2"/>
      <c r="O106" s="3"/>
    </row>
    <row r="107" spans="1:29" x14ac:dyDescent="0.45">
      <c r="C107" s="2"/>
      <c r="D107" s="2"/>
      <c r="O107" s="3"/>
    </row>
    <row r="108" spans="1:29" x14ac:dyDescent="0.45">
      <c r="C108" s="2"/>
      <c r="D108" s="2"/>
      <c r="O108" s="3"/>
    </row>
    <row r="109" spans="1:29" x14ac:dyDescent="0.45">
      <c r="C109" s="2"/>
      <c r="D109" s="2"/>
      <c r="O109" s="3"/>
    </row>
    <row r="110" spans="1:29" x14ac:dyDescent="0.45">
      <c r="C110" s="2"/>
      <c r="D110" s="2"/>
      <c r="O110" s="3"/>
    </row>
    <row r="111" spans="1:29" x14ac:dyDescent="0.45">
      <c r="C111" s="2"/>
      <c r="D111" s="2"/>
      <c r="O111" s="3"/>
    </row>
    <row r="112" spans="1:29" x14ac:dyDescent="0.45">
      <c r="C112" s="2"/>
      <c r="D112" s="2"/>
      <c r="O112" s="3"/>
    </row>
    <row r="113" spans="3:15" x14ac:dyDescent="0.45">
      <c r="C113" s="2"/>
      <c r="D113" s="2"/>
      <c r="O113" s="3"/>
    </row>
    <row r="114" spans="3:15" x14ac:dyDescent="0.45">
      <c r="C114" s="2"/>
      <c r="D114" s="2"/>
      <c r="O114" s="3"/>
    </row>
    <row r="115" spans="3:15" x14ac:dyDescent="0.45">
      <c r="C115" s="2"/>
      <c r="D115" s="2"/>
      <c r="O115" s="3"/>
    </row>
    <row r="116" spans="3:15" x14ac:dyDescent="0.45">
      <c r="C116" s="2"/>
      <c r="D116" s="2"/>
      <c r="O116" s="3"/>
    </row>
    <row r="117" spans="3:15" x14ac:dyDescent="0.45">
      <c r="C117" s="2"/>
      <c r="D117" s="2"/>
      <c r="O117" s="3"/>
    </row>
    <row r="118" spans="3:15" x14ac:dyDescent="0.45">
      <c r="C118" s="2"/>
      <c r="D118" s="2"/>
      <c r="O118" s="3"/>
    </row>
    <row r="119" spans="3:15" x14ac:dyDescent="0.45">
      <c r="C119" s="2"/>
      <c r="D119" s="2"/>
      <c r="O119" s="3"/>
    </row>
    <row r="120" spans="3:15" x14ac:dyDescent="0.45">
      <c r="C120" s="2"/>
      <c r="D120" s="2"/>
      <c r="O120" s="3"/>
    </row>
    <row r="121" spans="3:15" x14ac:dyDescent="0.45">
      <c r="C121" s="2"/>
      <c r="D121" s="2"/>
      <c r="O121" s="3"/>
    </row>
    <row r="122" spans="3:15" x14ac:dyDescent="0.45">
      <c r="C122" s="2"/>
      <c r="D122" s="2"/>
      <c r="O122" s="3"/>
    </row>
    <row r="123" spans="3:15" x14ac:dyDescent="0.45">
      <c r="C123" s="2"/>
      <c r="D123" s="2"/>
      <c r="O123" s="3"/>
    </row>
    <row r="124" spans="3:15" x14ac:dyDescent="0.45">
      <c r="C124" s="2"/>
      <c r="D124" s="2"/>
      <c r="O124" s="3"/>
    </row>
    <row r="125" spans="3:15" x14ac:dyDescent="0.45">
      <c r="C125" s="2"/>
      <c r="D125" s="2"/>
      <c r="O125" s="3"/>
    </row>
    <row r="126" spans="3:15" x14ac:dyDescent="0.45">
      <c r="C126" s="2"/>
      <c r="D126" s="2"/>
      <c r="O126" s="3"/>
    </row>
    <row r="127" spans="3:15" x14ac:dyDescent="0.45">
      <c r="C127" s="2"/>
      <c r="D127" s="2"/>
      <c r="O127" s="3"/>
    </row>
    <row r="128" spans="3:15" x14ac:dyDescent="0.45">
      <c r="C128" s="2"/>
      <c r="D128" s="2"/>
      <c r="O128" s="3"/>
    </row>
    <row r="129" spans="3:15" x14ac:dyDescent="0.45">
      <c r="C129" s="2"/>
      <c r="D129" s="2"/>
      <c r="O129" s="3"/>
    </row>
    <row r="130" spans="3:15" x14ac:dyDescent="0.45">
      <c r="C130" s="2"/>
      <c r="D130" s="2"/>
      <c r="O130" s="3"/>
    </row>
    <row r="131" spans="3:15" x14ac:dyDescent="0.45">
      <c r="C131" s="2"/>
      <c r="D131" s="2"/>
      <c r="O131" s="3"/>
    </row>
    <row r="132" spans="3:15" x14ac:dyDescent="0.45">
      <c r="C132" s="2"/>
      <c r="D132" s="2"/>
      <c r="O132" s="3"/>
    </row>
    <row r="133" spans="3:15" x14ac:dyDescent="0.45">
      <c r="C133" s="2"/>
      <c r="D133" s="2"/>
      <c r="O133" s="3"/>
    </row>
    <row r="134" spans="3:15" x14ac:dyDescent="0.45">
      <c r="C134" s="2"/>
      <c r="D134" s="2"/>
      <c r="O134" s="3"/>
    </row>
    <row r="135" spans="3:15" x14ac:dyDescent="0.45">
      <c r="C135" s="2"/>
      <c r="D135" s="2"/>
      <c r="O135" s="3"/>
    </row>
    <row r="136" spans="3:15" x14ac:dyDescent="0.45">
      <c r="C136" s="2"/>
      <c r="D136" s="2"/>
      <c r="O136" s="3"/>
    </row>
    <row r="137" spans="3:15" x14ac:dyDescent="0.45">
      <c r="C137" s="2"/>
      <c r="D137" s="2"/>
      <c r="O137" s="3"/>
    </row>
    <row r="138" spans="3:15" x14ac:dyDescent="0.45">
      <c r="C138" s="2"/>
      <c r="D138" s="2"/>
      <c r="O138" s="3"/>
    </row>
    <row r="139" spans="3:15" x14ac:dyDescent="0.45">
      <c r="C139" s="2"/>
      <c r="D139" s="2"/>
      <c r="O139" s="3"/>
    </row>
    <row r="140" spans="3:15" x14ac:dyDescent="0.45">
      <c r="C140" s="2"/>
      <c r="D140" s="2"/>
      <c r="O140" s="3"/>
    </row>
    <row r="141" spans="3:15" x14ac:dyDescent="0.45">
      <c r="C141" s="2"/>
      <c r="D141" s="2"/>
      <c r="O141" s="3"/>
    </row>
    <row r="142" spans="3:15" x14ac:dyDescent="0.45">
      <c r="C142" s="2"/>
      <c r="D142" s="2"/>
      <c r="O142" s="3"/>
    </row>
    <row r="143" spans="3:15" x14ac:dyDescent="0.45">
      <c r="C143" s="2"/>
      <c r="D143" s="2"/>
      <c r="O143" s="3"/>
    </row>
    <row r="144" spans="3:15" x14ac:dyDescent="0.45">
      <c r="C144" s="2"/>
      <c r="D144" s="2"/>
      <c r="O144" s="3"/>
    </row>
    <row r="145" spans="3:15" x14ac:dyDescent="0.45">
      <c r="C145" s="2"/>
      <c r="D145" s="2"/>
      <c r="O145" s="3"/>
    </row>
    <row r="146" spans="3:15" x14ac:dyDescent="0.45">
      <c r="C146" s="2"/>
      <c r="D146" s="2"/>
      <c r="O146" s="3"/>
    </row>
    <row r="147" spans="3:15" x14ac:dyDescent="0.45">
      <c r="C147" s="2"/>
      <c r="D147" s="2"/>
      <c r="O147" s="3"/>
    </row>
    <row r="148" spans="3:15" x14ac:dyDescent="0.45">
      <c r="C148" s="2"/>
      <c r="D148" s="2"/>
      <c r="O148" s="3"/>
    </row>
    <row r="149" spans="3:15" x14ac:dyDescent="0.45">
      <c r="C149" s="2"/>
      <c r="D149" s="2"/>
      <c r="O149" s="3"/>
    </row>
    <row r="150" spans="3:15" x14ac:dyDescent="0.45">
      <c r="C150" s="2"/>
      <c r="D150" s="2"/>
      <c r="O150" s="3"/>
    </row>
    <row r="151" spans="3:15" x14ac:dyDescent="0.45">
      <c r="C151" s="2"/>
      <c r="D151" s="2"/>
      <c r="O151" s="3"/>
    </row>
    <row r="152" spans="3:15" x14ac:dyDescent="0.45">
      <c r="C152" s="2"/>
      <c r="D152" s="2"/>
      <c r="O152" s="3"/>
    </row>
    <row r="153" spans="3:15" x14ac:dyDescent="0.45">
      <c r="C153" s="2"/>
      <c r="D153" s="2"/>
      <c r="O153" s="3"/>
    </row>
    <row r="154" spans="3:15" x14ac:dyDescent="0.45">
      <c r="C154" s="2"/>
      <c r="D154" s="2"/>
      <c r="O154" s="3"/>
    </row>
    <row r="155" spans="3:15" x14ac:dyDescent="0.45">
      <c r="C155" s="2"/>
      <c r="D155" s="2"/>
      <c r="O155" s="3"/>
    </row>
    <row r="156" spans="3:15" x14ac:dyDescent="0.45">
      <c r="C156" s="2"/>
      <c r="D156" s="2"/>
      <c r="O156" s="3"/>
    </row>
    <row r="157" spans="3:15" x14ac:dyDescent="0.45">
      <c r="C157" s="2"/>
      <c r="D157" s="2"/>
      <c r="O157" s="3"/>
    </row>
    <row r="158" spans="3:15" x14ac:dyDescent="0.45">
      <c r="C158" s="2"/>
      <c r="D158" s="2"/>
      <c r="O158" s="3"/>
    </row>
    <row r="159" spans="3:15" x14ac:dyDescent="0.45">
      <c r="C159" s="2"/>
      <c r="D159" s="2"/>
      <c r="O159" s="3"/>
    </row>
    <row r="160" spans="3:15" x14ac:dyDescent="0.45">
      <c r="C160" s="2"/>
      <c r="D160" s="2"/>
      <c r="O160" s="3"/>
    </row>
    <row r="161" spans="3:15" x14ac:dyDescent="0.45">
      <c r="C161" s="2"/>
      <c r="D161" s="2"/>
      <c r="O161" s="3"/>
    </row>
    <row r="162" spans="3:15" x14ac:dyDescent="0.45">
      <c r="C162" s="2"/>
      <c r="D162" s="2"/>
      <c r="O162" s="3"/>
    </row>
    <row r="163" spans="3:15" x14ac:dyDescent="0.45">
      <c r="C163" s="2"/>
      <c r="D163" s="2"/>
      <c r="O163" s="3"/>
    </row>
    <row r="164" spans="3:15" x14ac:dyDescent="0.45">
      <c r="C164" s="2"/>
      <c r="D164" s="2"/>
      <c r="O164" s="3"/>
    </row>
    <row r="165" spans="3:15" x14ac:dyDescent="0.45">
      <c r="C165" s="2"/>
      <c r="D165" s="2"/>
      <c r="O165" s="3"/>
    </row>
    <row r="166" spans="3:15" x14ac:dyDescent="0.45">
      <c r="C166" s="2"/>
      <c r="D166" s="2"/>
      <c r="O166" s="3"/>
    </row>
    <row r="167" spans="3:15" x14ac:dyDescent="0.45">
      <c r="C167" s="2"/>
      <c r="D167" s="2"/>
      <c r="O167" s="3"/>
    </row>
    <row r="168" spans="3:15" x14ac:dyDescent="0.45">
      <c r="C168" s="2"/>
      <c r="D168" s="2"/>
      <c r="O168" s="3"/>
    </row>
    <row r="169" spans="3:15" x14ac:dyDescent="0.45">
      <c r="C169" s="2"/>
      <c r="D169" s="2"/>
      <c r="O169" s="3"/>
    </row>
    <row r="170" spans="3:15" x14ac:dyDescent="0.45">
      <c r="C170" s="2"/>
      <c r="D170" s="2"/>
      <c r="O170" s="3"/>
    </row>
    <row r="171" spans="3:15" x14ac:dyDescent="0.45">
      <c r="C171" s="2"/>
      <c r="D171" s="2"/>
      <c r="O171" s="3"/>
    </row>
    <row r="172" spans="3:15" x14ac:dyDescent="0.45">
      <c r="C172" s="2"/>
      <c r="D172" s="2"/>
      <c r="O172" s="3"/>
    </row>
    <row r="173" spans="3:15" x14ac:dyDescent="0.45">
      <c r="C173" s="2"/>
      <c r="D173" s="2"/>
      <c r="O173" s="3"/>
    </row>
    <row r="174" spans="3:15" x14ac:dyDescent="0.45">
      <c r="C174" s="2"/>
      <c r="D174" s="2"/>
      <c r="O174" s="3"/>
    </row>
    <row r="175" spans="3:15" x14ac:dyDescent="0.45">
      <c r="C175" s="2"/>
      <c r="D175" s="2"/>
      <c r="O175" s="3"/>
    </row>
    <row r="176" spans="3:15" x14ac:dyDescent="0.45">
      <c r="C176" s="2"/>
      <c r="D176" s="2"/>
      <c r="O176" s="3"/>
    </row>
    <row r="177" spans="3:15" x14ac:dyDescent="0.45">
      <c r="C177" s="2"/>
      <c r="D177" s="2"/>
      <c r="O177" s="3"/>
    </row>
    <row r="178" spans="3:15" x14ac:dyDescent="0.45">
      <c r="C178" s="2"/>
      <c r="D178" s="2"/>
      <c r="O178" s="3"/>
    </row>
    <row r="179" spans="3:15" x14ac:dyDescent="0.45">
      <c r="C179" s="2"/>
      <c r="D179" s="2"/>
      <c r="O179" s="3"/>
    </row>
    <row r="180" spans="3:15" x14ac:dyDescent="0.45">
      <c r="C180" s="2"/>
      <c r="D180" s="2"/>
      <c r="O180" s="3"/>
    </row>
    <row r="181" spans="3:15" x14ac:dyDescent="0.45">
      <c r="C181" s="2"/>
      <c r="D181" s="2"/>
      <c r="O181" s="3"/>
    </row>
    <row r="182" spans="3:15" x14ac:dyDescent="0.45">
      <c r="C182" s="2"/>
      <c r="D182" s="2"/>
      <c r="O182" s="3"/>
    </row>
    <row r="183" spans="3:15" x14ac:dyDescent="0.45">
      <c r="C183" s="2"/>
      <c r="D183" s="2"/>
      <c r="O183" s="3"/>
    </row>
    <row r="184" spans="3:15" x14ac:dyDescent="0.45">
      <c r="C184" s="2"/>
      <c r="D184" s="2"/>
      <c r="O184" s="3"/>
    </row>
    <row r="185" spans="3:15" x14ac:dyDescent="0.45">
      <c r="C185" s="2"/>
      <c r="D185" s="2"/>
      <c r="O185" s="3"/>
    </row>
    <row r="186" spans="3:15" x14ac:dyDescent="0.45">
      <c r="C186" s="2"/>
      <c r="D186" s="2"/>
      <c r="O186" s="3"/>
    </row>
    <row r="187" spans="3:15" x14ac:dyDescent="0.45">
      <c r="C187" s="2"/>
      <c r="D187" s="2"/>
      <c r="O187" s="3"/>
    </row>
    <row r="188" spans="3:15" x14ac:dyDescent="0.45">
      <c r="C188" s="2"/>
      <c r="D188" s="2"/>
      <c r="O188" s="3"/>
    </row>
    <row r="189" spans="3:15" x14ac:dyDescent="0.45">
      <c r="C189" s="2"/>
      <c r="D189" s="2"/>
      <c r="O189" s="3"/>
    </row>
    <row r="190" spans="3:15" x14ac:dyDescent="0.45">
      <c r="C190" s="2"/>
      <c r="D190" s="2"/>
      <c r="O190" s="3"/>
    </row>
    <row r="191" spans="3:15" x14ac:dyDescent="0.45">
      <c r="C191" s="2"/>
      <c r="D191" s="2"/>
      <c r="O191" s="3"/>
    </row>
    <row r="192" spans="3:15" x14ac:dyDescent="0.45">
      <c r="C192" s="2"/>
      <c r="D192" s="2"/>
      <c r="O192" s="3"/>
    </row>
    <row r="193" spans="3:15" x14ac:dyDescent="0.45">
      <c r="C193" s="2"/>
      <c r="D193" s="2"/>
      <c r="O193" s="3"/>
    </row>
    <row r="194" spans="3:15" x14ac:dyDescent="0.45">
      <c r="C194" s="2"/>
      <c r="D194" s="2"/>
      <c r="O194" s="3"/>
    </row>
    <row r="195" spans="3:15" x14ac:dyDescent="0.45">
      <c r="C195" s="2"/>
      <c r="D195" s="2"/>
      <c r="O195" s="3"/>
    </row>
    <row r="196" spans="3:15" x14ac:dyDescent="0.45">
      <c r="C196" s="2"/>
      <c r="D196" s="2"/>
      <c r="O196" s="3"/>
    </row>
    <row r="197" spans="3:15" x14ac:dyDescent="0.45">
      <c r="C197" s="2"/>
      <c r="D197" s="2"/>
      <c r="O197" s="3"/>
    </row>
    <row r="198" spans="3:15" x14ac:dyDescent="0.45">
      <c r="C198" s="2"/>
      <c r="D198" s="2"/>
      <c r="O198" s="3"/>
    </row>
    <row r="199" spans="3:15" x14ac:dyDescent="0.45">
      <c r="C199" s="2"/>
      <c r="D199" s="2"/>
      <c r="O199" s="3"/>
    </row>
    <row r="200" spans="3:15" x14ac:dyDescent="0.45">
      <c r="C200" s="2"/>
      <c r="D200" s="2"/>
      <c r="O200" s="3"/>
    </row>
    <row r="201" spans="3:15" x14ac:dyDescent="0.45">
      <c r="C201" s="2"/>
      <c r="D201" s="2"/>
      <c r="O201" s="3"/>
    </row>
    <row r="202" spans="3:15" x14ac:dyDescent="0.45">
      <c r="C202" s="2"/>
      <c r="D202" s="2"/>
      <c r="O202" s="3"/>
    </row>
    <row r="203" spans="3:15" x14ac:dyDescent="0.45">
      <c r="C203" s="2"/>
      <c r="D203" s="2"/>
      <c r="O203" s="3"/>
    </row>
    <row r="204" spans="3:15" x14ac:dyDescent="0.45">
      <c r="C204" s="2"/>
      <c r="D204" s="2"/>
      <c r="O204" s="3"/>
    </row>
    <row r="205" spans="3:15" x14ac:dyDescent="0.45">
      <c r="C205" s="2"/>
      <c r="D205" s="2"/>
      <c r="O205" s="3"/>
    </row>
    <row r="206" spans="3:15" x14ac:dyDescent="0.45">
      <c r="C206" s="2"/>
      <c r="D206" s="2"/>
      <c r="O206" s="3"/>
    </row>
    <row r="207" spans="3:15" x14ac:dyDescent="0.45">
      <c r="C207" s="2"/>
      <c r="D207" s="2"/>
      <c r="O207" s="3"/>
    </row>
    <row r="208" spans="3:15" x14ac:dyDescent="0.45">
      <c r="C208" s="2"/>
      <c r="D208" s="2"/>
      <c r="O208" s="3"/>
    </row>
    <row r="209" spans="3:15" x14ac:dyDescent="0.45">
      <c r="C209" s="2"/>
      <c r="D209" s="2"/>
      <c r="O209" s="3"/>
    </row>
    <row r="210" spans="3:15" x14ac:dyDescent="0.45">
      <c r="C210" s="2"/>
      <c r="D210" s="2"/>
      <c r="O210" s="3"/>
    </row>
    <row r="211" spans="3:15" x14ac:dyDescent="0.45">
      <c r="C211" s="2"/>
      <c r="D211" s="2"/>
      <c r="O211" s="3"/>
    </row>
    <row r="212" spans="3:15" x14ac:dyDescent="0.45">
      <c r="C212" s="2"/>
      <c r="D212" s="2"/>
      <c r="O212" s="3"/>
    </row>
    <row r="213" spans="3:15" x14ac:dyDescent="0.45">
      <c r="C213" s="2"/>
      <c r="D213" s="2"/>
      <c r="O213" s="3"/>
    </row>
    <row r="214" spans="3:15" x14ac:dyDescent="0.45">
      <c r="C214" s="2"/>
      <c r="D214" s="2"/>
      <c r="O214" s="3"/>
    </row>
    <row r="215" spans="3:15" x14ac:dyDescent="0.45">
      <c r="C215" s="2"/>
      <c r="D215" s="2"/>
      <c r="O215" s="3"/>
    </row>
    <row r="216" spans="3:15" x14ac:dyDescent="0.45">
      <c r="C216" s="2"/>
      <c r="D216" s="2"/>
      <c r="O216" s="3"/>
    </row>
    <row r="217" spans="3:15" x14ac:dyDescent="0.45">
      <c r="C217" s="2"/>
      <c r="D217" s="2"/>
      <c r="O217" s="3"/>
    </row>
    <row r="218" spans="3:15" x14ac:dyDescent="0.45">
      <c r="C218" s="2"/>
      <c r="D218" s="2"/>
      <c r="O218" s="3"/>
    </row>
    <row r="219" spans="3:15" x14ac:dyDescent="0.45">
      <c r="C219" s="2"/>
      <c r="D219" s="2"/>
      <c r="O219" s="3"/>
    </row>
    <row r="220" spans="3:15" x14ac:dyDescent="0.45">
      <c r="C220" s="2"/>
      <c r="D220" s="2"/>
      <c r="O220" s="3"/>
    </row>
    <row r="221" spans="3:15" x14ac:dyDescent="0.45">
      <c r="C221" s="2"/>
      <c r="D221" s="2"/>
      <c r="O221" s="3"/>
    </row>
    <row r="222" spans="3:15" x14ac:dyDescent="0.45">
      <c r="C222" s="2"/>
      <c r="D222" s="2"/>
      <c r="O222" s="3"/>
    </row>
    <row r="223" spans="3:15" x14ac:dyDescent="0.45">
      <c r="C223" s="2"/>
      <c r="D223" s="2"/>
      <c r="O223" s="3"/>
    </row>
    <row r="224" spans="3:15" x14ac:dyDescent="0.45">
      <c r="C224" s="2"/>
      <c r="D224" s="2"/>
      <c r="O224" s="3"/>
    </row>
    <row r="225" spans="3:15" x14ac:dyDescent="0.45">
      <c r="C225" s="2"/>
      <c r="D225" s="2"/>
      <c r="O225" s="3"/>
    </row>
    <row r="226" spans="3:15" x14ac:dyDescent="0.45">
      <c r="C226" s="2"/>
      <c r="D226" s="2"/>
      <c r="O226" s="3"/>
    </row>
    <row r="227" spans="3:15" x14ac:dyDescent="0.45">
      <c r="C227" s="2"/>
      <c r="D227" s="2"/>
      <c r="O227" s="3"/>
    </row>
    <row r="228" spans="3:15" x14ac:dyDescent="0.45">
      <c r="C228" s="2"/>
      <c r="D228" s="2"/>
      <c r="O228" s="3"/>
    </row>
    <row r="229" spans="3:15" x14ac:dyDescent="0.45">
      <c r="C229" s="2"/>
      <c r="D229" s="2"/>
      <c r="O229" s="3"/>
    </row>
    <row r="230" spans="3:15" x14ac:dyDescent="0.45">
      <c r="C230" s="2"/>
      <c r="D230" s="2"/>
      <c r="O230" s="3"/>
    </row>
    <row r="231" spans="3:15" x14ac:dyDescent="0.45">
      <c r="C231" s="2"/>
      <c r="D231" s="2"/>
      <c r="O231" s="3"/>
    </row>
    <row r="232" spans="3:15" x14ac:dyDescent="0.45">
      <c r="C232" s="2"/>
      <c r="D232" s="2"/>
      <c r="O232" s="3"/>
    </row>
    <row r="233" spans="3:15" x14ac:dyDescent="0.45">
      <c r="C233" s="2"/>
      <c r="D233" s="2"/>
      <c r="O233" s="3"/>
    </row>
    <row r="234" spans="3:15" x14ac:dyDescent="0.45">
      <c r="C234" s="2"/>
      <c r="D234" s="2"/>
      <c r="O234" s="3"/>
    </row>
    <row r="235" spans="3:15" x14ac:dyDescent="0.45">
      <c r="C235" s="2"/>
      <c r="D235" s="2"/>
      <c r="O235" s="3"/>
    </row>
    <row r="236" spans="3:15" x14ac:dyDescent="0.45">
      <c r="C236" s="2"/>
      <c r="D236" s="2"/>
      <c r="O236" s="3"/>
    </row>
    <row r="237" spans="3:15" x14ac:dyDescent="0.45">
      <c r="C237" s="2"/>
      <c r="D237" s="2"/>
      <c r="O237" s="3"/>
    </row>
    <row r="238" spans="3:15" x14ac:dyDescent="0.45">
      <c r="C238" s="2"/>
      <c r="D238" s="2"/>
      <c r="O238" s="3"/>
    </row>
    <row r="239" spans="3:15" x14ac:dyDescent="0.45">
      <c r="C239" s="2"/>
      <c r="D239" s="2"/>
      <c r="O239" s="3"/>
    </row>
    <row r="240" spans="3:15" x14ac:dyDescent="0.45">
      <c r="C240" s="2"/>
      <c r="D240" s="2"/>
      <c r="O240" s="3"/>
    </row>
    <row r="241" spans="3:15" x14ac:dyDescent="0.45">
      <c r="C241" s="2"/>
      <c r="D241" s="2"/>
      <c r="O241" s="3"/>
    </row>
    <row r="242" spans="3:15" x14ac:dyDescent="0.45">
      <c r="C242" s="2"/>
      <c r="D242" s="2"/>
      <c r="O242" s="3"/>
    </row>
    <row r="243" spans="3:15" x14ac:dyDescent="0.45">
      <c r="C243" s="2"/>
      <c r="D243" s="2"/>
      <c r="O243" s="3"/>
    </row>
    <row r="244" spans="3:15" x14ac:dyDescent="0.45">
      <c r="C244" s="2"/>
      <c r="D244" s="2"/>
      <c r="O244" s="3"/>
    </row>
    <row r="245" spans="3:15" x14ac:dyDescent="0.45">
      <c r="C245" s="2"/>
      <c r="D245" s="2"/>
      <c r="O245" s="3"/>
    </row>
    <row r="246" spans="3:15" x14ac:dyDescent="0.45">
      <c r="C246" s="2"/>
      <c r="D246" s="2"/>
      <c r="O246" s="3"/>
    </row>
    <row r="247" spans="3:15" x14ac:dyDescent="0.45">
      <c r="C247" s="2"/>
      <c r="D247" s="2"/>
      <c r="O247" s="3"/>
    </row>
    <row r="248" spans="3:15" x14ac:dyDescent="0.45">
      <c r="C248" s="2"/>
      <c r="D248" s="2"/>
      <c r="O248" s="3"/>
    </row>
    <row r="249" spans="3:15" x14ac:dyDescent="0.45">
      <c r="C249" s="2"/>
      <c r="D249" s="2"/>
      <c r="O249" s="3"/>
    </row>
    <row r="250" spans="3:15" x14ac:dyDescent="0.45">
      <c r="C250" s="2"/>
      <c r="D250" s="2"/>
      <c r="O250" s="3"/>
    </row>
    <row r="251" spans="3:15" x14ac:dyDescent="0.45">
      <c r="C251" s="2"/>
      <c r="D251" s="2"/>
      <c r="O251" s="3"/>
    </row>
    <row r="252" spans="3:15" x14ac:dyDescent="0.45">
      <c r="C252" s="2"/>
      <c r="D252" s="2"/>
      <c r="O252" s="3"/>
    </row>
    <row r="253" spans="3:15" x14ac:dyDescent="0.45">
      <c r="C253" s="2"/>
      <c r="D253" s="2"/>
      <c r="O253" s="3"/>
    </row>
    <row r="254" spans="3:15" x14ac:dyDescent="0.45">
      <c r="C254" s="2"/>
      <c r="D254" s="2"/>
      <c r="O254" s="3"/>
    </row>
    <row r="255" spans="3:15" x14ac:dyDescent="0.45">
      <c r="C255" s="2"/>
      <c r="D255" s="2"/>
      <c r="O255" s="3"/>
    </row>
    <row r="256" spans="3:15" x14ac:dyDescent="0.45">
      <c r="C256" s="2"/>
      <c r="D256" s="2"/>
      <c r="O256" s="3"/>
    </row>
    <row r="257" spans="3:15" x14ac:dyDescent="0.45">
      <c r="C257" s="2"/>
      <c r="D257" s="2"/>
      <c r="O257" s="3"/>
    </row>
    <row r="258" spans="3:15" x14ac:dyDescent="0.45">
      <c r="C258" s="2"/>
      <c r="D258" s="2"/>
      <c r="O258" s="3"/>
    </row>
    <row r="259" spans="3:15" x14ac:dyDescent="0.45">
      <c r="C259" s="2"/>
      <c r="D259" s="2"/>
      <c r="O259" s="3"/>
    </row>
    <row r="260" spans="3:15" x14ac:dyDescent="0.45">
      <c r="C260" s="2"/>
      <c r="D260" s="2"/>
      <c r="O260" s="3"/>
    </row>
    <row r="261" spans="3:15" x14ac:dyDescent="0.45">
      <c r="C261" s="2"/>
      <c r="D261" s="2"/>
      <c r="O261" s="3"/>
    </row>
    <row r="262" spans="3:15" x14ac:dyDescent="0.45">
      <c r="C262" s="2"/>
      <c r="D262" s="2"/>
      <c r="O262" s="3"/>
    </row>
    <row r="263" spans="3:15" x14ac:dyDescent="0.45">
      <c r="C263" s="2"/>
      <c r="D263" s="2"/>
      <c r="O263" s="3"/>
    </row>
    <row r="264" spans="3:15" x14ac:dyDescent="0.45">
      <c r="C264" s="2"/>
      <c r="D264" s="2"/>
      <c r="O264" s="3"/>
    </row>
    <row r="265" spans="3:15" x14ac:dyDescent="0.45">
      <c r="C265" s="2"/>
      <c r="D265" s="2"/>
      <c r="O265" s="3"/>
    </row>
    <row r="266" spans="3:15" x14ac:dyDescent="0.45">
      <c r="C266" s="2"/>
      <c r="D266" s="2"/>
      <c r="O266" s="3"/>
    </row>
    <row r="267" spans="3:15" x14ac:dyDescent="0.45">
      <c r="C267" s="2"/>
      <c r="D267" s="2"/>
      <c r="O267" s="3"/>
    </row>
    <row r="268" spans="3:15" x14ac:dyDescent="0.45">
      <c r="C268" s="2"/>
      <c r="D268" s="2"/>
      <c r="O268" s="3"/>
    </row>
    <row r="269" spans="3:15" x14ac:dyDescent="0.45">
      <c r="C269" s="2"/>
      <c r="D269" s="2"/>
      <c r="O269" s="3"/>
    </row>
    <row r="270" spans="3:15" x14ac:dyDescent="0.45">
      <c r="C270" s="2"/>
      <c r="D270" s="2"/>
      <c r="O270" s="3"/>
    </row>
    <row r="271" spans="3:15" x14ac:dyDescent="0.45">
      <c r="C271" s="2"/>
      <c r="D271" s="2"/>
      <c r="O271" s="3"/>
    </row>
    <row r="272" spans="3:15" x14ac:dyDescent="0.45">
      <c r="C272" s="2"/>
      <c r="D272" s="2"/>
      <c r="O272" s="3"/>
    </row>
    <row r="273" spans="3:15" x14ac:dyDescent="0.45">
      <c r="C273" s="2"/>
      <c r="D273" s="2"/>
      <c r="O273" s="3"/>
    </row>
    <row r="274" spans="3:15" x14ac:dyDescent="0.45">
      <c r="C274" s="2"/>
      <c r="D274" s="2"/>
      <c r="O274" s="3"/>
    </row>
    <row r="275" spans="3:15" x14ac:dyDescent="0.45">
      <c r="C275" s="2"/>
      <c r="D275" s="2"/>
      <c r="O275" s="3"/>
    </row>
    <row r="276" spans="3:15" x14ac:dyDescent="0.45">
      <c r="C276" s="2"/>
      <c r="D276" s="2"/>
      <c r="O276" s="3"/>
    </row>
    <row r="277" spans="3:15" x14ac:dyDescent="0.45">
      <c r="C277" s="2"/>
      <c r="D277" s="2"/>
      <c r="O277" s="3"/>
    </row>
    <row r="278" spans="3:15" x14ac:dyDescent="0.45">
      <c r="C278" s="2"/>
      <c r="D278" s="2"/>
      <c r="O278" s="3"/>
    </row>
    <row r="279" spans="3:15" x14ac:dyDescent="0.45">
      <c r="C279" s="2"/>
      <c r="D279" s="2"/>
      <c r="O279" s="3"/>
    </row>
    <row r="280" spans="3:15" x14ac:dyDescent="0.45">
      <c r="C280" s="2"/>
      <c r="D280" s="2"/>
      <c r="O280" s="3"/>
    </row>
    <row r="281" spans="3:15" x14ac:dyDescent="0.45">
      <c r="C281" s="2"/>
      <c r="D281" s="2"/>
      <c r="O281" s="3"/>
    </row>
    <row r="282" spans="3:15" x14ac:dyDescent="0.45">
      <c r="C282" s="2"/>
      <c r="D282" s="2"/>
      <c r="O282" s="3"/>
    </row>
    <row r="283" spans="3:15" x14ac:dyDescent="0.45">
      <c r="C283" s="2"/>
      <c r="D283" s="2"/>
      <c r="O283" s="3"/>
    </row>
    <row r="284" spans="3:15" x14ac:dyDescent="0.45">
      <c r="C284" s="2"/>
      <c r="D284" s="2"/>
      <c r="O284" s="3"/>
    </row>
    <row r="285" spans="3:15" x14ac:dyDescent="0.45">
      <c r="C285" s="2"/>
      <c r="D285" s="2"/>
      <c r="O285" s="3"/>
    </row>
    <row r="286" spans="3:15" x14ac:dyDescent="0.45">
      <c r="C286" s="2"/>
      <c r="D286" s="2"/>
      <c r="O286" s="3"/>
    </row>
    <row r="287" spans="3:15" x14ac:dyDescent="0.45">
      <c r="C287" s="2"/>
      <c r="D287" s="2"/>
      <c r="O287" s="3"/>
    </row>
    <row r="288" spans="3:15" x14ac:dyDescent="0.45">
      <c r="C288" s="2"/>
      <c r="D288" s="2"/>
      <c r="O288" s="3"/>
    </row>
    <row r="289" spans="3:15" x14ac:dyDescent="0.45">
      <c r="C289" s="2"/>
      <c r="D289" s="2"/>
      <c r="O289" s="3"/>
    </row>
    <row r="290" spans="3:15" x14ac:dyDescent="0.45">
      <c r="C290" s="2"/>
      <c r="D290" s="2"/>
      <c r="O290" s="3"/>
    </row>
    <row r="291" spans="3:15" x14ac:dyDescent="0.45">
      <c r="C291" s="2"/>
      <c r="D291" s="2"/>
      <c r="O291" s="3"/>
    </row>
    <row r="292" spans="3:15" x14ac:dyDescent="0.45">
      <c r="C292" s="2"/>
      <c r="D292" s="2"/>
      <c r="O292" s="3"/>
    </row>
    <row r="293" spans="3:15" x14ac:dyDescent="0.45">
      <c r="C293" s="2"/>
      <c r="D293" s="2"/>
      <c r="O293" s="3"/>
    </row>
    <row r="294" spans="3:15" x14ac:dyDescent="0.45">
      <c r="C294" s="2"/>
      <c r="D294" s="2"/>
      <c r="O294" s="3"/>
    </row>
    <row r="295" spans="3:15" x14ac:dyDescent="0.45">
      <c r="C295" s="2"/>
      <c r="D295" s="2"/>
      <c r="O295" s="3"/>
    </row>
    <row r="296" spans="3:15" x14ac:dyDescent="0.45">
      <c r="C296" s="2"/>
      <c r="D296" s="2"/>
      <c r="O296" s="3"/>
    </row>
    <row r="297" spans="3:15" x14ac:dyDescent="0.45">
      <c r="C297" s="2"/>
      <c r="D297" s="2"/>
      <c r="O297" s="3"/>
    </row>
    <row r="298" spans="3:15" x14ac:dyDescent="0.45">
      <c r="C298" s="2"/>
      <c r="D298" s="2"/>
      <c r="O298" s="3"/>
    </row>
    <row r="299" spans="3:15" x14ac:dyDescent="0.45">
      <c r="C299" s="2"/>
      <c r="D299" s="2"/>
      <c r="O299" s="3"/>
    </row>
    <row r="300" spans="3:15" x14ac:dyDescent="0.45">
      <c r="C300" s="2"/>
      <c r="D300" s="2"/>
      <c r="O300" s="3"/>
    </row>
    <row r="301" spans="3:15" x14ac:dyDescent="0.45">
      <c r="C301" s="2"/>
      <c r="D301" s="2"/>
      <c r="O301" s="3"/>
    </row>
    <row r="302" spans="3:15" x14ac:dyDescent="0.45">
      <c r="C302" s="2"/>
      <c r="D302" s="2"/>
      <c r="O302" s="3"/>
    </row>
    <row r="303" spans="3:15" x14ac:dyDescent="0.45">
      <c r="C303" s="2"/>
      <c r="D303" s="2"/>
      <c r="O303" s="3"/>
    </row>
    <row r="304" spans="3:15" x14ac:dyDescent="0.45">
      <c r="C304" s="2"/>
      <c r="D304" s="2"/>
      <c r="O304" s="3"/>
    </row>
    <row r="305" spans="3:15" x14ac:dyDescent="0.45">
      <c r="C305" s="2"/>
      <c r="D305" s="2"/>
      <c r="O305" s="3"/>
    </row>
    <row r="306" spans="3:15" x14ac:dyDescent="0.45">
      <c r="C306" s="2"/>
      <c r="D306" s="2"/>
      <c r="O306" s="3"/>
    </row>
    <row r="307" spans="3:15" x14ac:dyDescent="0.45">
      <c r="C307" s="2"/>
      <c r="D307" s="2"/>
      <c r="O307" s="3"/>
    </row>
    <row r="308" spans="3:15" x14ac:dyDescent="0.45">
      <c r="C308" s="2"/>
      <c r="D308" s="2"/>
      <c r="O308" s="3"/>
    </row>
    <row r="309" spans="3:15" x14ac:dyDescent="0.45">
      <c r="C309" s="2"/>
      <c r="D309" s="2"/>
      <c r="O309" s="3"/>
    </row>
    <row r="310" spans="3:15" x14ac:dyDescent="0.45">
      <c r="C310" s="2"/>
      <c r="D310" s="2"/>
      <c r="O310" s="3"/>
    </row>
    <row r="311" spans="3:15" x14ac:dyDescent="0.45">
      <c r="C311" s="2"/>
      <c r="D311" s="2"/>
      <c r="O311" s="3"/>
    </row>
    <row r="312" spans="3:15" x14ac:dyDescent="0.45">
      <c r="C312" s="2"/>
      <c r="D312" s="2"/>
      <c r="O312" s="3"/>
    </row>
    <row r="313" spans="3:15" x14ac:dyDescent="0.45">
      <c r="C313" s="2"/>
      <c r="D313" s="2"/>
      <c r="O313" s="3"/>
    </row>
    <row r="314" spans="3:15" x14ac:dyDescent="0.45">
      <c r="C314" s="2"/>
      <c r="D314" s="2"/>
      <c r="O314" s="3"/>
    </row>
    <row r="315" spans="3:15" x14ac:dyDescent="0.45">
      <c r="C315" s="2"/>
      <c r="D315" s="2"/>
      <c r="O315" s="3"/>
    </row>
    <row r="316" spans="3:15" x14ac:dyDescent="0.45">
      <c r="C316" s="2"/>
      <c r="D316" s="2"/>
      <c r="O316" s="3"/>
    </row>
    <row r="317" spans="3:15" x14ac:dyDescent="0.45">
      <c r="C317" s="2"/>
      <c r="D317" s="2"/>
      <c r="O317" s="3"/>
    </row>
    <row r="318" spans="3:15" x14ac:dyDescent="0.45">
      <c r="C318" s="2"/>
      <c r="D318" s="2"/>
      <c r="O318" s="3"/>
    </row>
    <row r="319" spans="3:15" x14ac:dyDescent="0.45">
      <c r="C319" s="2"/>
      <c r="D319" s="2"/>
      <c r="O319" s="3"/>
    </row>
    <row r="320" spans="3:15" x14ac:dyDescent="0.45">
      <c r="C320" s="2"/>
      <c r="D320" s="2"/>
      <c r="O320" s="3"/>
    </row>
    <row r="321" spans="3:15" x14ac:dyDescent="0.45">
      <c r="C321" s="2"/>
      <c r="D321" s="2"/>
      <c r="O321" s="3"/>
    </row>
    <row r="322" spans="3:15" x14ac:dyDescent="0.45">
      <c r="C322" s="2"/>
      <c r="D322" s="2"/>
      <c r="O322" s="3"/>
    </row>
    <row r="323" spans="3:15" x14ac:dyDescent="0.45">
      <c r="C323" s="2"/>
      <c r="D323" s="2"/>
      <c r="O323" s="3"/>
    </row>
    <row r="324" spans="3:15" x14ac:dyDescent="0.45">
      <c r="C324" s="2"/>
      <c r="D324" s="2"/>
      <c r="O324" s="3"/>
    </row>
    <row r="325" spans="3:15" x14ac:dyDescent="0.45">
      <c r="C325" s="2"/>
      <c r="D325" s="2"/>
      <c r="O325" s="3"/>
    </row>
    <row r="326" spans="3:15" x14ac:dyDescent="0.45">
      <c r="C326" s="2"/>
      <c r="D326" s="2"/>
      <c r="O326" s="3"/>
    </row>
    <row r="327" spans="3:15" x14ac:dyDescent="0.45">
      <c r="C327" s="2"/>
      <c r="D327" s="2"/>
      <c r="O327" s="3"/>
    </row>
    <row r="328" spans="3:15" x14ac:dyDescent="0.45">
      <c r="C328" s="2"/>
      <c r="D328" s="2"/>
      <c r="O328" s="3"/>
    </row>
    <row r="329" spans="3:15" x14ac:dyDescent="0.45">
      <c r="C329" s="2"/>
      <c r="D329" s="2"/>
      <c r="O329" s="3"/>
    </row>
    <row r="330" spans="3:15" x14ac:dyDescent="0.45">
      <c r="C330" s="2"/>
      <c r="D330" s="2"/>
      <c r="O330" s="3"/>
    </row>
    <row r="331" spans="3:15" x14ac:dyDescent="0.45">
      <c r="C331" s="2"/>
      <c r="D331" s="2"/>
      <c r="O331" s="3"/>
    </row>
    <row r="332" spans="3:15" x14ac:dyDescent="0.45">
      <c r="C332" s="2"/>
      <c r="D332" s="2"/>
      <c r="O332" s="3"/>
    </row>
    <row r="333" spans="3:15" x14ac:dyDescent="0.45">
      <c r="C333" s="2"/>
      <c r="D333" s="2"/>
      <c r="O333" s="3"/>
    </row>
    <row r="334" spans="3:15" x14ac:dyDescent="0.45">
      <c r="C334" s="2"/>
      <c r="D334" s="2"/>
      <c r="O334" s="3"/>
    </row>
    <row r="335" spans="3:15" x14ac:dyDescent="0.45">
      <c r="C335" s="2"/>
      <c r="D335" s="2"/>
      <c r="O335" s="3"/>
    </row>
    <row r="336" spans="3:15" x14ac:dyDescent="0.45">
      <c r="C336" s="2"/>
      <c r="D336" s="2"/>
      <c r="O336" s="3"/>
    </row>
    <row r="337" spans="3:15" x14ac:dyDescent="0.45">
      <c r="C337" s="2"/>
      <c r="D337" s="2"/>
      <c r="O337" s="3"/>
    </row>
    <row r="338" spans="3:15" x14ac:dyDescent="0.45">
      <c r="C338" s="2"/>
      <c r="D338" s="2"/>
      <c r="O338" s="3"/>
    </row>
    <row r="339" spans="3:15" x14ac:dyDescent="0.45">
      <c r="C339" s="2"/>
      <c r="D339" s="2"/>
      <c r="O339" s="3"/>
    </row>
    <row r="340" spans="3:15" x14ac:dyDescent="0.45">
      <c r="C340" s="2"/>
      <c r="D340" s="2"/>
      <c r="O340" s="3"/>
    </row>
    <row r="341" spans="3:15" x14ac:dyDescent="0.45">
      <c r="C341" s="2"/>
      <c r="D341" s="2"/>
      <c r="O341" s="3"/>
    </row>
    <row r="342" spans="3:15" x14ac:dyDescent="0.45">
      <c r="C342" s="2"/>
      <c r="D342" s="2"/>
      <c r="O342" s="3"/>
    </row>
    <row r="343" spans="3:15" x14ac:dyDescent="0.45">
      <c r="C343" s="2"/>
      <c r="D343" s="2"/>
      <c r="O343" s="3"/>
    </row>
    <row r="344" spans="3:15" x14ac:dyDescent="0.45">
      <c r="C344" s="2"/>
      <c r="D344" s="2"/>
      <c r="O344" s="3"/>
    </row>
    <row r="345" spans="3:15" x14ac:dyDescent="0.45">
      <c r="C345" s="2"/>
      <c r="D345" s="2"/>
      <c r="O345" s="3"/>
    </row>
    <row r="346" spans="3:15" x14ac:dyDescent="0.45">
      <c r="C346" s="2"/>
      <c r="D346" s="2"/>
      <c r="O346" s="3"/>
    </row>
    <row r="347" spans="3:15" x14ac:dyDescent="0.45">
      <c r="C347" s="2"/>
      <c r="D347" s="2"/>
      <c r="O347" s="3"/>
    </row>
    <row r="348" spans="3:15" x14ac:dyDescent="0.45">
      <c r="C348" s="2"/>
      <c r="D348" s="2"/>
      <c r="O348" s="3"/>
    </row>
    <row r="349" spans="3:15" x14ac:dyDescent="0.45">
      <c r="C349" s="2"/>
      <c r="D349" s="2"/>
      <c r="O349" s="3"/>
    </row>
    <row r="350" spans="3:15" x14ac:dyDescent="0.45">
      <c r="C350" s="2"/>
      <c r="D350" s="2"/>
      <c r="O350" s="3"/>
    </row>
    <row r="351" spans="3:15" x14ac:dyDescent="0.45">
      <c r="C351" s="2"/>
      <c r="D351" s="2"/>
      <c r="O351" s="3"/>
    </row>
    <row r="352" spans="3:15" x14ac:dyDescent="0.45">
      <c r="C352" s="2"/>
      <c r="D352" s="2"/>
      <c r="O352" s="3"/>
    </row>
    <row r="353" spans="3:15" x14ac:dyDescent="0.45">
      <c r="C353" s="2"/>
      <c r="D353" s="2"/>
      <c r="O353" s="3"/>
    </row>
    <row r="354" spans="3:15" x14ac:dyDescent="0.45">
      <c r="C354" s="2"/>
      <c r="D354" s="2"/>
      <c r="O354" s="3"/>
    </row>
    <row r="355" spans="3:15" x14ac:dyDescent="0.45">
      <c r="C355" s="2"/>
      <c r="D355" s="2"/>
      <c r="O355" s="3"/>
    </row>
    <row r="356" spans="3:15" x14ac:dyDescent="0.45">
      <c r="C356" s="2"/>
      <c r="D356" s="2"/>
      <c r="O356" s="3"/>
    </row>
    <row r="357" spans="3:15" x14ac:dyDescent="0.45">
      <c r="C357" s="2"/>
      <c r="D357" s="2"/>
      <c r="O357" s="3"/>
    </row>
    <row r="358" spans="3:15" x14ac:dyDescent="0.45">
      <c r="C358" s="2"/>
      <c r="D358" s="2"/>
      <c r="O358" s="3"/>
    </row>
    <row r="359" spans="3:15" x14ac:dyDescent="0.45">
      <c r="C359" s="2"/>
      <c r="D359" s="2"/>
      <c r="O359" s="3"/>
    </row>
    <row r="360" spans="3:15" x14ac:dyDescent="0.45">
      <c r="C360" s="2"/>
      <c r="D360" s="2"/>
      <c r="O360" s="3"/>
    </row>
    <row r="361" spans="3:15" x14ac:dyDescent="0.45">
      <c r="C361" s="2"/>
      <c r="D361" s="2"/>
      <c r="O361" s="3"/>
    </row>
    <row r="362" spans="3:15" x14ac:dyDescent="0.45">
      <c r="C362" s="2"/>
      <c r="D362" s="2"/>
      <c r="O362" s="3"/>
    </row>
    <row r="363" spans="3:15" x14ac:dyDescent="0.45">
      <c r="C363" s="2"/>
      <c r="D363" s="2"/>
      <c r="O363" s="3"/>
    </row>
    <row r="364" spans="3:15" x14ac:dyDescent="0.45">
      <c r="C364" s="2"/>
      <c r="D364" s="2"/>
      <c r="O364" s="3"/>
    </row>
    <row r="365" spans="3:15" x14ac:dyDescent="0.45">
      <c r="C365" s="2"/>
      <c r="D365" s="2"/>
      <c r="O365" s="3"/>
    </row>
    <row r="366" spans="3:15" x14ac:dyDescent="0.45">
      <c r="C366" s="2"/>
      <c r="D366" s="2"/>
      <c r="O366" s="3"/>
    </row>
    <row r="367" spans="3:15" x14ac:dyDescent="0.45">
      <c r="C367" s="2"/>
      <c r="D367" s="2"/>
      <c r="O367" s="3"/>
    </row>
    <row r="368" spans="3:15" x14ac:dyDescent="0.45">
      <c r="C368" s="2"/>
      <c r="D368" s="2"/>
      <c r="O368" s="3"/>
    </row>
    <row r="369" spans="3:15" x14ac:dyDescent="0.45">
      <c r="C369" s="2"/>
      <c r="D369" s="2"/>
      <c r="O369" s="3"/>
    </row>
    <row r="370" spans="3:15" x14ac:dyDescent="0.45">
      <c r="C370" s="2"/>
      <c r="D370" s="2"/>
      <c r="O370" s="3"/>
    </row>
    <row r="371" spans="3:15" x14ac:dyDescent="0.45">
      <c r="C371" s="2"/>
      <c r="D371" s="2"/>
      <c r="O371" s="3"/>
    </row>
    <row r="372" spans="3:15" x14ac:dyDescent="0.45">
      <c r="C372" s="2"/>
      <c r="D372" s="2"/>
      <c r="O372" s="3"/>
    </row>
    <row r="373" spans="3:15" x14ac:dyDescent="0.45">
      <c r="C373" s="2"/>
      <c r="D373" s="2"/>
      <c r="O373" s="3"/>
    </row>
    <row r="374" spans="3:15" x14ac:dyDescent="0.45">
      <c r="C374" s="2"/>
      <c r="D374" s="2"/>
      <c r="O374" s="3"/>
    </row>
    <row r="375" spans="3:15" x14ac:dyDescent="0.45">
      <c r="C375" s="2"/>
      <c r="D375" s="2"/>
      <c r="O375" s="3"/>
    </row>
    <row r="376" spans="3:15" x14ac:dyDescent="0.45">
      <c r="C376" s="2"/>
      <c r="D376" s="2"/>
      <c r="O376" s="3"/>
    </row>
    <row r="377" spans="3:15" x14ac:dyDescent="0.45">
      <c r="C377" s="2"/>
      <c r="D377" s="2"/>
      <c r="O377" s="3"/>
    </row>
    <row r="378" spans="3:15" x14ac:dyDescent="0.45">
      <c r="C378" s="2"/>
      <c r="D378" s="2"/>
      <c r="O378" s="3"/>
    </row>
    <row r="379" spans="3:15" x14ac:dyDescent="0.45">
      <c r="C379" s="2"/>
      <c r="D379" s="2"/>
      <c r="O379" s="3"/>
    </row>
    <row r="380" spans="3:15" x14ac:dyDescent="0.45">
      <c r="C380" s="2"/>
      <c r="D380" s="2"/>
      <c r="O380" s="3"/>
    </row>
    <row r="381" spans="3:15" x14ac:dyDescent="0.45">
      <c r="C381" s="2"/>
      <c r="D381" s="2"/>
      <c r="O381" s="3"/>
    </row>
    <row r="382" spans="3:15" x14ac:dyDescent="0.45">
      <c r="C382" s="2"/>
      <c r="D382" s="2"/>
      <c r="O382" s="3"/>
    </row>
    <row r="383" spans="3:15" x14ac:dyDescent="0.45">
      <c r="C383" s="2"/>
      <c r="D383" s="2"/>
      <c r="O383" s="3"/>
    </row>
    <row r="384" spans="3:15" x14ac:dyDescent="0.45">
      <c r="C384" s="2"/>
      <c r="D384" s="2"/>
      <c r="O384" s="3"/>
    </row>
    <row r="385" spans="3:15" x14ac:dyDescent="0.45">
      <c r="C385" s="2"/>
      <c r="D385" s="2"/>
      <c r="O385" s="3"/>
    </row>
    <row r="386" spans="3:15" x14ac:dyDescent="0.45">
      <c r="C386" s="2"/>
      <c r="D386" s="2"/>
      <c r="O386" s="3"/>
    </row>
    <row r="387" spans="3:15" x14ac:dyDescent="0.45">
      <c r="C387" s="2"/>
      <c r="D387" s="2"/>
      <c r="O387" s="3"/>
    </row>
    <row r="388" spans="3:15" x14ac:dyDescent="0.45">
      <c r="C388" s="2"/>
      <c r="D388" s="2"/>
      <c r="O388" s="3"/>
    </row>
    <row r="389" spans="3:15" x14ac:dyDescent="0.45">
      <c r="C389" s="2"/>
      <c r="D389" s="2"/>
      <c r="O389" s="3"/>
    </row>
    <row r="390" spans="3:15" x14ac:dyDescent="0.45">
      <c r="C390" s="2"/>
      <c r="D390" s="2"/>
      <c r="O390" s="3"/>
    </row>
    <row r="391" spans="3:15" x14ac:dyDescent="0.45">
      <c r="C391" s="2"/>
      <c r="D391" s="2"/>
      <c r="O391" s="3"/>
    </row>
    <row r="392" spans="3:15" x14ac:dyDescent="0.45">
      <c r="C392" s="2"/>
      <c r="D392" s="2"/>
      <c r="O392" s="3"/>
    </row>
    <row r="393" spans="3:15" x14ac:dyDescent="0.45">
      <c r="C393" s="2"/>
      <c r="D393" s="2"/>
      <c r="O393" s="3"/>
    </row>
    <row r="394" spans="3:15" x14ac:dyDescent="0.45">
      <c r="C394" s="2"/>
      <c r="D394" s="2"/>
      <c r="O394" s="3"/>
    </row>
    <row r="395" spans="3:15" x14ac:dyDescent="0.45">
      <c r="C395" s="2"/>
      <c r="D395" s="2"/>
      <c r="O395" s="3"/>
    </row>
    <row r="396" spans="3:15" x14ac:dyDescent="0.45">
      <c r="C396" s="2"/>
      <c r="D396" s="2"/>
      <c r="O396" s="3"/>
    </row>
    <row r="397" spans="3:15" x14ac:dyDescent="0.45">
      <c r="C397" s="2"/>
      <c r="D397" s="2"/>
      <c r="O397" s="3"/>
    </row>
    <row r="398" spans="3:15" x14ac:dyDescent="0.45">
      <c r="C398" s="2"/>
      <c r="D398" s="2"/>
      <c r="O398" s="3"/>
    </row>
    <row r="399" spans="3:15" x14ac:dyDescent="0.45">
      <c r="C399" s="2"/>
      <c r="D399" s="2"/>
      <c r="O399" s="3"/>
    </row>
    <row r="400" spans="3:15" x14ac:dyDescent="0.45">
      <c r="C400" s="2"/>
      <c r="D400" s="2"/>
      <c r="O400" s="3"/>
    </row>
    <row r="401" spans="3:15" x14ac:dyDescent="0.45">
      <c r="C401" s="2"/>
      <c r="D401" s="2"/>
      <c r="O401" s="3"/>
    </row>
    <row r="402" spans="3:15" x14ac:dyDescent="0.45">
      <c r="C402" s="2"/>
      <c r="D402" s="2"/>
      <c r="O402" s="3"/>
    </row>
    <row r="403" spans="3:15" x14ac:dyDescent="0.45">
      <c r="C403" s="2"/>
      <c r="D403" s="2"/>
      <c r="O403" s="3"/>
    </row>
    <row r="404" spans="3:15" x14ac:dyDescent="0.45">
      <c r="C404" s="2"/>
      <c r="D404" s="2"/>
      <c r="O404" s="3"/>
    </row>
    <row r="405" spans="3:15" x14ac:dyDescent="0.45">
      <c r="C405" s="2"/>
      <c r="D405" s="2"/>
      <c r="O405" s="3"/>
    </row>
    <row r="406" spans="3:15" x14ac:dyDescent="0.45">
      <c r="C406" s="2"/>
      <c r="D406" s="2"/>
      <c r="O406" s="3"/>
    </row>
    <row r="407" spans="3:15" x14ac:dyDescent="0.45">
      <c r="C407" s="2"/>
      <c r="D407" s="2"/>
      <c r="O407" s="3"/>
    </row>
    <row r="408" spans="3:15" x14ac:dyDescent="0.45">
      <c r="C408" s="2"/>
      <c r="D408" s="2"/>
      <c r="O408" s="3"/>
    </row>
    <row r="409" spans="3:15" x14ac:dyDescent="0.45">
      <c r="C409" s="2"/>
      <c r="D409" s="2"/>
      <c r="O409" s="3"/>
    </row>
    <row r="410" spans="3:15" x14ac:dyDescent="0.45">
      <c r="C410" s="2"/>
      <c r="D410" s="2"/>
      <c r="O410" s="3"/>
    </row>
    <row r="411" spans="3:15" x14ac:dyDescent="0.45">
      <c r="C411" s="2"/>
      <c r="D411" s="2"/>
      <c r="O411" s="3"/>
    </row>
    <row r="412" spans="3:15" x14ac:dyDescent="0.45">
      <c r="C412" s="2"/>
      <c r="D412" s="2"/>
      <c r="O412" s="3"/>
    </row>
    <row r="413" spans="3:15" x14ac:dyDescent="0.45">
      <c r="C413" s="2"/>
      <c r="D413" s="2"/>
      <c r="O413" s="3"/>
    </row>
    <row r="414" spans="3:15" x14ac:dyDescent="0.45">
      <c r="C414" s="2"/>
      <c r="D414" s="2"/>
      <c r="O414" s="3"/>
    </row>
    <row r="415" spans="3:15" x14ac:dyDescent="0.45">
      <c r="C415" s="2"/>
      <c r="D415" s="2"/>
      <c r="O415" s="3"/>
    </row>
    <row r="416" spans="3:15" x14ac:dyDescent="0.45">
      <c r="C416" s="2"/>
      <c r="D416" s="2"/>
      <c r="O416" s="3"/>
    </row>
    <row r="417" spans="3:15" x14ac:dyDescent="0.45">
      <c r="C417" s="2"/>
      <c r="D417" s="2"/>
      <c r="O417" s="3"/>
    </row>
    <row r="418" spans="3:15" x14ac:dyDescent="0.45">
      <c r="C418" s="2"/>
      <c r="D418" s="2"/>
      <c r="O418" s="3"/>
    </row>
    <row r="419" spans="3:15" x14ac:dyDescent="0.45">
      <c r="C419" s="2"/>
      <c r="D419" s="2"/>
      <c r="O419" s="3"/>
    </row>
    <row r="420" spans="3:15" x14ac:dyDescent="0.45">
      <c r="C420" s="2"/>
      <c r="D420" s="2"/>
      <c r="O420" s="3"/>
    </row>
    <row r="421" spans="3:15" x14ac:dyDescent="0.45">
      <c r="C421" s="2"/>
      <c r="D421" s="2"/>
      <c r="O421" s="3"/>
    </row>
    <row r="422" spans="3:15" x14ac:dyDescent="0.45">
      <c r="C422" s="2"/>
      <c r="D422" s="2"/>
      <c r="O422" s="3"/>
    </row>
    <row r="423" spans="3:15" x14ac:dyDescent="0.45">
      <c r="C423" s="2"/>
      <c r="D423" s="2"/>
      <c r="O423" s="3"/>
    </row>
    <row r="424" spans="3:15" x14ac:dyDescent="0.45">
      <c r="C424" s="2"/>
      <c r="D424" s="2"/>
      <c r="O424" s="3"/>
    </row>
    <row r="425" spans="3:15" x14ac:dyDescent="0.45">
      <c r="C425" s="2"/>
      <c r="D425" s="2"/>
      <c r="O425" s="3"/>
    </row>
    <row r="426" spans="3:15" x14ac:dyDescent="0.45">
      <c r="C426" s="2"/>
      <c r="D426" s="2"/>
      <c r="O426" s="3"/>
    </row>
    <row r="427" spans="3:15" x14ac:dyDescent="0.45">
      <c r="C427" s="2"/>
      <c r="D427" s="2"/>
      <c r="O427" s="3"/>
    </row>
    <row r="428" spans="3:15" x14ac:dyDescent="0.45">
      <c r="C428" s="2"/>
      <c r="D428" s="2"/>
      <c r="O428" s="3"/>
    </row>
    <row r="429" spans="3:15" x14ac:dyDescent="0.45">
      <c r="C429" s="2"/>
      <c r="D429" s="2"/>
      <c r="O429" s="3"/>
    </row>
    <row r="430" spans="3:15" x14ac:dyDescent="0.45">
      <c r="C430" s="2"/>
      <c r="D430" s="2"/>
      <c r="O430" s="3"/>
    </row>
    <row r="431" spans="3:15" x14ac:dyDescent="0.45">
      <c r="C431" s="2"/>
      <c r="D431" s="2"/>
      <c r="O431" s="3"/>
    </row>
    <row r="432" spans="3:15" x14ac:dyDescent="0.45">
      <c r="C432" s="2"/>
      <c r="D432" s="2"/>
      <c r="O432" s="3"/>
    </row>
    <row r="433" spans="3:15" x14ac:dyDescent="0.45">
      <c r="C433" s="2"/>
      <c r="D433" s="2"/>
      <c r="O433" s="3"/>
    </row>
    <row r="434" spans="3:15" x14ac:dyDescent="0.45">
      <c r="C434" s="2"/>
      <c r="D434" s="2"/>
      <c r="O434" s="3"/>
    </row>
    <row r="435" spans="3:15" x14ac:dyDescent="0.45">
      <c r="C435" s="2"/>
      <c r="D435" s="2"/>
      <c r="O435" s="3"/>
    </row>
    <row r="436" spans="3:15" x14ac:dyDescent="0.45">
      <c r="C436" s="2"/>
      <c r="D436" s="2"/>
      <c r="O436" s="3"/>
    </row>
    <row r="437" spans="3:15" x14ac:dyDescent="0.45">
      <c r="C437" s="2"/>
      <c r="D437" s="2"/>
      <c r="O437" s="3"/>
    </row>
    <row r="438" spans="3:15" x14ac:dyDescent="0.45">
      <c r="C438" s="2"/>
      <c r="D438" s="2"/>
      <c r="O438" s="3"/>
    </row>
    <row r="439" spans="3:15" x14ac:dyDescent="0.45">
      <c r="C439" s="2"/>
      <c r="D439" s="2"/>
      <c r="O439" s="3"/>
    </row>
    <row r="440" spans="3:15" x14ac:dyDescent="0.45">
      <c r="C440" s="2"/>
      <c r="D440" s="2"/>
      <c r="O440" s="3"/>
    </row>
    <row r="441" spans="3:15" x14ac:dyDescent="0.45">
      <c r="C441" s="2"/>
      <c r="D441" s="2"/>
      <c r="O441" s="3"/>
    </row>
    <row r="442" spans="3:15" x14ac:dyDescent="0.45">
      <c r="C442" s="2"/>
      <c r="D442" s="2"/>
      <c r="O442" s="3"/>
    </row>
    <row r="443" spans="3:15" x14ac:dyDescent="0.45">
      <c r="C443" s="2"/>
      <c r="D443" s="2"/>
      <c r="O443" s="3"/>
    </row>
    <row r="444" spans="3:15" x14ac:dyDescent="0.45">
      <c r="C444" s="2"/>
      <c r="D444" s="2"/>
      <c r="O444" s="3"/>
    </row>
    <row r="445" spans="3:15" x14ac:dyDescent="0.45">
      <c r="C445" s="2"/>
      <c r="D445" s="2"/>
      <c r="O445" s="3"/>
    </row>
    <row r="446" spans="3:15" x14ac:dyDescent="0.45">
      <c r="C446" s="2"/>
      <c r="D446" s="2"/>
      <c r="O446" s="3"/>
    </row>
    <row r="447" spans="3:15" x14ac:dyDescent="0.45">
      <c r="C447" s="2"/>
      <c r="D447" s="2"/>
      <c r="O447" s="3"/>
    </row>
    <row r="448" spans="3:15" x14ac:dyDescent="0.45">
      <c r="C448" s="2"/>
      <c r="D448" s="2"/>
      <c r="O448" s="3"/>
    </row>
    <row r="449" spans="3:15" x14ac:dyDescent="0.45">
      <c r="C449" s="2"/>
      <c r="D449" s="2"/>
      <c r="O449" s="3"/>
    </row>
    <row r="450" spans="3:15" x14ac:dyDescent="0.45">
      <c r="C450" s="2"/>
      <c r="D450" s="2"/>
      <c r="O450" s="3"/>
    </row>
    <row r="451" spans="3:15" x14ac:dyDescent="0.45">
      <c r="C451" s="2"/>
      <c r="D451" s="2"/>
      <c r="O451" s="3"/>
    </row>
    <row r="452" spans="3:15" x14ac:dyDescent="0.45">
      <c r="C452" s="2"/>
      <c r="D452" s="2"/>
      <c r="O452" s="3"/>
    </row>
    <row r="453" spans="3:15" x14ac:dyDescent="0.45">
      <c r="C453" s="2"/>
      <c r="D453" s="2"/>
      <c r="O453" s="3"/>
    </row>
    <row r="454" spans="3:15" x14ac:dyDescent="0.45">
      <c r="C454" s="2"/>
      <c r="D454" s="2"/>
      <c r="O454" s="3"/>
    </row>
    <row r="455" spans="3:15" x14ac:dyDescent="0.45">
      <c r="C455" s="2"/>
      <c r="D455" s="2"/>
      <c r="O455" s="3"/>
    </row>
    <row r="456" spans="3:15" x14ac:dyDescent="0.45">
      <c r="C456" s="2"/>
      <c r="D456" s="2"/>
      <c r="O456" s="3"/>
    </row>
    <row r="457" spans="3:15" x14ac:dyDescent="0.45">
      <c r="C457" s="2"/>
      <c r="D457" s="2"/>
      <c r="O457" s="3"/>
    </row>
    <row r="458" spans="3:15" x14ac:dyDescent="0.45">
      <c r="C458" s="2"/>
      <c r="D458" s="2"/>
      <c r="O458" s="3"/>
    </row>
    <row r="459" spans="3:15" x14ac:dyDescent="0.45">
      <c r="C459" s="2"/>
      <c r="D459" s="2"/>
      <c r="O459" s="3"/>
    </row>
    <row r="460" spans="3:15" x14ac:dyDescent="0.45">
      <c r="C460" s="2"/>
      <c r="D460" s="2"/>
      <c r="O460" s="3"/>
    </row>
    <row r="461" spans="3:15" x14ac:dyDescent="0.45">
      <c r="C461" s="2"/>
      <c r="D461" s="2"/>
      <c r="O461" s="3"/>
    </row>
    <row r="462" spans="3:15" x14ac:dyDescent="0.45">
      <c r="C462" s="2"/>
      <c r="D462" s="2"/>
      <c r="O462" s="3"/>
    </row>
    <row r="463" spans="3:15" x14ac:dyDescent="0.45">
      <c r="C463" s="2"/>
      <c r="D463" s="2"/>
      <c r="O463" s="3"/>
    </row>
    <row r="464" spans="3:15" x14ac:dyDescent="0.45">
      <c r="C464" s="2"/>
      <c r="D464" s="2"/>
      <c r="O464" s="3"/>
    </row>
    <row r="465" spans="3:15" x14ac:dyDescent="0.45">
      <c r="C465" s="2"/>
      <c r="D465" s="2"/>
      <c r="O465" s="3"/>
    </row>
    <row r="466" spans="3:15" x14ac:dyDescent="0.45">
      <c r="C466" s="2"/>
      <c r="D466" s="2"/>
      <c r="O466" s="3"/>
    </row>
    <row r="467" spans="3:15" x14ac:dyDescent="0.45">
      <c r="C467" s="2"/>
      <c r="D467" s="2"/>
      <c r="O467" s="3"/>
    </row>
    <row r="468" spans="3:15" x14ac:dyDescent="0.45">
      <c r="C468" s="2"/>
      <c r="D468" s="2"/>
      <c r="O468" s="3"/>
    </row>
    <row r="469" spans="3:15" x14ac:dyDescent="0.45">
      <c r="C469" s="2"/>
      <c r="D469" s="2"/>
      <c r="O469" s="3"/>
    </row>
    <row r="470" spans="3:15" x14ac:dyDescent="0.45">
      <c r="C470" s="2"/>
      <c r="D470" s="2"/>
      <c r="O470" s="3"/>
    </row>
    <row r="471" spans="3:15" x14ac:dyDescent="0.45">
      <c r="C471" s="2"/>
      <c r="D471" s="2"/>
      <c r="O471" s="3"/>
    </row>
    <row r="472" spans="3:15" x14ac:dyDescent="0.45">
      <c r="C472" s="2"/>
      <c r="D472" s="2"/>
      <c r="O472" s="3"/>
    </row>
    <row r="473" spans="3:15" x14ac:dyDescent="0.45">
      <c r="C473" s="2"/>
      <c r="D473" s="2"/>
      <c r="O473" s="3"/>
    </row>
    <row r="474" spans="3:15" x14ac:dyDescent="0.45">
      <c r="C474" s="2"/>
      <c r="D474" s="2"/>
      <c r="O474" s="3"/>
    </row>
    <row r="475" spans="3:15" x14ac:dyDescent="0.45">
      <c r="C475" s="2"/>
      <c r="D475" s="2"/>
      <c r="O475" s="3"/>
    </row>
    <row r="476" spans="3:15" x14ac:dyDescent="0.45">
      <c r="C476" s="2"/>
      <c r="D476" s="2"/>
      <c r="O476" s="3"/>
    </row>
    <row r="477" spans="3:15" x14ac:dyDescent="0.45">
      <c r="C477" s="2"/>
      <c r="D477" s="2"/>
      <c r="O477" s="3"/>
    </row>
    <row r="478" spans="3:15" x14ac:dyDescent="0.45">
      <c r="C478" s="2"/>
      <c r="D478" s="2"/>
      <c r="O478" s="3"/>
    </row>
    <row r="479" spans="3:15" x14ac:dyDescent="0.45">
      <c r="C479" s="2"/>
      <c r="D479" s="2"/>
      <c r="O479" s="3"/>
    </row>
    <row r="480" spans="3:15" x14ac:dyDescent="0.45">
      <c r="C480" s="2"/>
      <c r="D480" s="2"/>
      <c r="O480" s="3"/>
    </row>
    <row r="481" spans="3:15" x14ac:dyDescent="0.45">
      <c r="C481" s="2"/>
      <c r="D481" s="2"/>
      <c r="O481" s="3"/>
    </row>
    <row r="482" spans="3:15" x14ac:dyDescent="0.45">
      <c r="C482" s="2"/>
      <c r="D482" s="2"/>
      <c r="O482" s="3"/>
    </row>
    <row r="483" spans="3:15" x14ac:dyDescent="0.45">
      <c r="C483" s="2"/>
      <c r="D483" s="2"/>
      <c r="O483" s="3"/>
    </row>
    <row r="484" spans="3:15" x14ac:dyDescent="0.45">
      <c r="C484" s="2"/>
      <c r="D484" s="2"/>
      <c r="O484" s="3"/>
    </row>
    <row r="485" spans="3:15" x14ac:dyDescent="0.45">
      <c r="C485" s="2"/>
      <c r="D485" s="2"/>
      <c r="O485" s="3"/>
    </row>
    <row r="486" spans="3:15" x14ac:dyDescent="0.45">
      <c r="C486" s="2"/>
      <c r="D486" s="2"/>
      <c r="O486" s="3"/>
    </row>
    <row r="487" spans="3:15" x14ac:dyDescent="0.45">
      <c r="C487" s="2"/>
      <c r="D487" s="2"/>
      <c r="O487" s="3"/>
    </row>
    <row r="488" spans="3:15" x14ac:dyDescent="0.45">
      <c r="C488" s="2"/>
      <c r="D488" s="2"/>
      <c r="O488" s="3"/>
    </row>
    <row r="489" spans="3:15" x14ac:dyDescent="0.45">
      <c r="C489" s="2"/>
      <c r="D489" s="2"/>
      <c r="O489" s="3"/>
    </row>
    <row r="490" spans="3:15" x14ac:dyDescent="0.45">
      <c r="C490" s="2"/>
      <c r="D490" s="2"/>
      <c r="O490" s="3"/>
    </row>
    <row r="491" spans="3:15" x14ac:dyDescent="0.45">
      <c r="C491" s="2"/>
      <c r="D491" s="2"/>
      <c r="O491" s="3"/>
    </row>
    <row r="492" spans="3:15" x14ac:dyDescent="0.45">
      <c r="C492" s="2"/>
      <c r="D492" s="2"/>
      <c r="O492" s="3"/>
    </row>
    <row r="493" spans="3:15" x14ac:dyDescent="0.45">
      <c r="C493" s="2"/>
      <c r="D493" s="2"/>
      <c r="O493" s="3"/>
    </row>
    <row r="494" spans="3:15" x14ac:dyDescent="0.45">
      <c r="C494" s="2"/>
      <c r="D494" s="2"/>
      <c r="O494" s="3"/>
    </row>
    <row r="495" spans="3:15" x14ac:dyDescent="0.45">
      <c r="C495" s="2"/>
      <c r="D495" s="2"/>
      <c r="O495" s="3"/>
    </row>
    <row r="496" spans="3:15" x14ac:dyDescent="0.45">
      <c r="C496" s="2"/>
      <c r="D496" s="2"/>
      <c r="O496" s="3"/>
    </row>
    <row r="497" spans="3:15" x14ac:dyDescent="0.45">
      <c r="C497" s="2"/>
      <c r="D497" s="2"/>
      <c r="O497" s="3"/>
    </row>
    <row r="498" spans="3:15" x14ac:dyDescent="0.45">
      <c r="C498" s="2"/>
      <c r="D498" s="2"/>
      <c r="O498" s="3"/>
    </row>
    <row r="499" spans="3:15" x14ac:dyDescent="0.45">
      <c r="C499" s="2"/>
      <c r="D499" s="2"/>
      <c r="O499" s="3"/>
    </row>
    <row r="500" spans="3:15" x14ac:dyDescent="0.45">
      <c r="C500" s="2"/>
      <c r="D500" s="2"/>
      <c r="O500" s="3"/>
    </row>
    <row r="501" spans="3:15" x14ac:dyDescent="0.45">
      <c r="C501" s="2"/>
      <c r="D501" s="2"/>
      <c r="O501" s="3"/>
    </row>
    <row r="502" spans="3:15" x14ac:dyDescent="0.45">
      <c r="C502" s="2"/>
      <c r="D502" s="2"/>
      <c r="O502" s="3"/>
    </row>
    <row r="503" spans="3:15" x14ac:dyDescent="0.45">
      <c r="C503" s="2"/>
      <c r="D503" s="2"/>
      <c r="O503" s="3"/>
    </row>
    <row r="504" spans="3:15" x14ac:dyDescent="0.45">
      <c r="C504" s="2"/>
      <c r="D504" s="2"/>
      <c r="O504" s="3"/>
    </row>
    <row r="505" spans="3:15" x14ac:dyDescent="0.45">
      <c r="C505" s="2"/>
      <c r="D505" s="2"/>
      <c r="O505" s="3"/>
    </row>
    <row r="506" spans="3:15" x14ac:dyDescent="0.45">
      <c r="C506" s="2"/>
      <c r="D506" s="2"/>
      <c r="O506" s="3"/>
    </row>
    <row r="507" spans="3:15" x14ac:dyDescent="0.45">
      <c r="C507" s="2"/>
      <c r="D507" s="2"/>
      <c r="O507" s="3"/>
    </row>
    <row r="508" spans="3:15" x14ac:dyDescent="0.45">
      <c r="C508" s="2"/>
      <c r="D508" s="2"/>
      <c r="O508" s="3"/>
    </row>
    <row r="509" spans="3:15" x14ac:dyDescent="0.45">
      <c r="C509" s="2"/>
      <c r="D509" s="2"/>
      <c r="O509" s="3"/>
    </row>
    <row r="510" spans="3:15" x14ac:dyDescent="0.45">
      <c r="C510" s="2"/>
      <c r="D510" s="2"/>
      <c r="O510" s="3"/>
    </row>
    <row r="511" spans="3:15" x14ac:dyDescent="0.45">
      <c r="C511" s="2"/>
      <c r="D511" s="2"/>
      <c r="O511" s="3"/>
    </row>
    <row r="512" spans="3:15" x14ac:dyDescent="0.45">
      <c r="C512" s="2"/>
      <c r="D512" s="2"/>
      <c r="O512" s="3"/>
    </row>
    <row r="513" spans="3:15" x14ac:dyDescent="0.45">
      <c r="C513" s="2"/>
      <c r="D513" s="2"/>
      <c r="O513" s="3"/>
    </row>
    <row r="514" spans="3:15" x14ac:dyDescent="0.45">
      <c r="C514" s="2"/>
      <c r="D514" s="2"/>
      <c r="O514" s="3"/>
    </row>
    <row r="515" spans="3:15" x14ac:dyDescent="0.45">
      <c r="C515" s="2"/>
      <c r="D515" s="2"/>
      <c r="O515" s="3"/>
    </row>
    <row r="516" spans="3:15" x14ac:dyDescent="0.45">
      <c r="C516" s="2"/>
      <c r="D516" s="2"/>
      <c r="O516" s="3"/>
    </row>
    <row r="517" spans="3:15" x14ac:dyDescent="0.45">
      <c r="C517" s="2"/>
      <c r="D517" s="2"/>
      <c r="O517" s="3"/>
    </row>
    <row r="518" spans="3:15" x14ac:dyDescent="0.45">
      <c r="C518" s="2"/>
      <c r="D518" s="2"/>
      <c r="O518" s="3"/>
    </row>
    <row r="519" spans="3:15" x14ac:dyDescent="0.45">
      <c r="C519" s="2"/>
      <c r="D519" s="2"/>
      <c r="O519" s="3"/>
    </row>
    <row r="520" spans="3:15" x14ac:dyDescent="0.45">
      <c r="C520" s="2"/>
      <c r="D520" s="2"/>
      <c r="O520" s="3"/>
    </row>
    <row r="521" spans="3:15" x14ac:dyDescent="0.45">
      <c r="C521" s="2"/>
      <c r="D521" s="2"/>
      <c r="O521" s="3"/>
    </row>
    <row r="522" spans="3:15" x14ac:dyDescent="0.45">
      <c r="C522" s="2"/>
      <c r="D522" s="2"/>
      <c r="O522" s="3"/>
    </row>
    <row r="523" spans="3:15" x14ac:dyDescent="0.45">
      <c r="C523" s="2"/>
      <c r="D523" s="2"/>
      <c r="O523" s="3"/>
    </row>
    <row r="524" spans="3:15" x14ac:dyDescent="0.45">
      <c r="C524" s="2"/>
      <c r="D524" s="2"/>
      <c r="O524" s="3"/>
    </row>
    <row r="525" spans="3:15" x14ac:dyDescent="0.45">
      <c r="C525" s="2"/>
      <c r="D525" s="2"/>
      <c r="O525" s="3"/>
    </row>
    <row r="526" spans="3:15" x14ac:dyDescent="0.45">
      <c r="C526" s="2"/>
      <c r="D526" s="2"/>
      <c r="O526" s="3"/>
    </row>
    <row r="527" spans="3:15" x14ac:dyDescent="0.45">
      <c r="C527" s="2"/>
      <c r="D527" s="2"/>
      <c r="O527" s="3"/>
    </row>
    <row r="528" spans="3:15" x14ac:dyDescent="0.45">
      <c r="C528" s="2"/>
      <c r="D528" s="2"/>
      <c r="O528" s="3"/>
    </row>
    <row r="529" spans="3:15" x14ac:dyDescent="0.45">
      <c r="C529" s="2"/>
      <c r="D529" s="2"/>
      <c r="O529" s="3"/>
    </row>
    <row r="530" spans="3:15" x14ac:dyDescent="0.45">
      <c r="C530" s="2"/>
      <c r="D530" s="2"/>
      <c r="O530" s="3"/>
    </row>
    <row r="531" spans="3:15" x14ac:dyDescent="0.45">
      <c r="C531" s="2"/>
      <c r="D531" s="2"/>
      <c r="O531" s="3"/>
    </row>
    <row r="532" spans="3:15" x14ac:dyDescent="0.45">
      <c r="C532" s="2"/>
      <c r="D532" s="2"/>
      <c r="O532" s="3"/>
    </row>
    <row r="533" spans="3:15" x14ac:dyDescent="0.45">
      <c r="C533" s="2"/>
      <c r="D533" s="2"/>
      <c r="O533" s="3"/>
    </row>
    <row r="534" spans="3:15" x14ac:dyDescent="0.45">
      <c r="C534" s="2"/>
      <c r="D534" s="2"/>
      <c r="O534" s="3"/>
    </row>
    <row r="535" spans="3:15" x14ac:dyDescent="0.45">
      <c r="C535" s="2"/>
      <c r="D535" s="2"/>
      <c r="O535" s="3"/>
    </row>
    <row r="536" spans="3:15" x14ac:dyDescent="0.45">
      <c r="C536" s="2"/>
      <c r="D536" s="2"/>
      <c r="O536" s="3"/>
    </row>
    <row r="537" spans="3:15" x14ac:dyDescent="0.45">
      <c r="C537" s="2"/>
      <c r="D537" s="2"/>
      <c r="O537" s="3"/>
    </row>
    <row r="538" spans="3:15" x14ac:dyDescent="0.45">
      <c r="C538" s="2"/>
      <c r="D538" s="2"/>
      <c r="O538" s="3"/>
    </row>
    <row r="539" spans="3:15" x14ac:dyDescent="0.45">
      <c r="C539" s="2"/>
      <c r="D539" s="2"/>
      <c r="O539" s="3"/>
    </row>
    <row r="540" spans="3:15" x14ac:dyDescent="0.45">
      <c r="C540" s="2"/>
      <c r="D540" s="2"/>
      <c r="O540" s="3"/>
    </row>
    <row r="541" spans="3:15" x14ac:dyDescent="0.45">
      <c r="C541" s="2"/>
      <c r="D541" s="2"/>
      <c r="O541" s="3"/>
    </row>
    <row r="542" spans="3:15" x14ac:dyDescent="0.45">
      <c r="C542" s="2"/>
      <c r="D542" s="2"/>
      <c r="O542" s="3"/>
    </row>
    <row r="543" spans="3:15" x14ac:dyDescent="0.45">
      <c r="C543" s="2"/>
      <c r="D543" s="2"/>
      <c r="O543" s="3"/>
    </row>
    <row r="544" spans="3:15" x14ac:dyDescent="0.45">
      <c r="C544" s="2"/>
      <c r="D544" s="2"/>
      <c r="O544" s="3"/>
    </row>
    <row r="545" spans="3:15" x14ac:dyDescent="0.45">
      <c r="C545" s="2"/>
      <c r="D545" s="2"/>
      <c r="O545" s="3"/>
    </row>
    <row r="546" spans="3:15" x14ac:dyDescent="0.45">
      <c r="C546" s="2"/>
      <c r="D546" s="2"/>
      <c r="O546" s="3"/>
    </row>
    <row r="547" spans="3:15" x14ac:dyDescent="0.45">
      <c r="C547" s="2"/>
      <c r="D547" s="2"/>
      <c r="O547" s="3"/>
    </row>
    <row r="548" spans="3:15" x14ac:dyDescent="0.45">
      <c r="C548" s="2"/>
      <c r="D548" s="2"/>
      <c r="O548" s="3"/>
    </row>
    <row r="549" spans="3:15" x14ac:dyDescent="0.45">
      <c r="C549" s="2"/>
      <c r="D549" s="2"/>
      <c r="O549" s="3"/>
    </row>
    <row r="550" spans="3:15" x14ac:dyDescent="0.45">
      <c r="C550" s="2"/>
      <c r="D550" s="2"/>
      <c r="O550" s="3"/>
    </row>
    <row r="551" spans="3:15" x14ac:dyDescent="0.45">
      <c r="C551" s="2"/>
      <c r="D551" s="2"/>
      <c r="O551" s="3"/>
    </row>
    <row r="552" spans="3:15" x14ac:dyDescent="0.45">
      <c r="C552" s="2"/>
      <c r="D552" s="2"/>
      <c r="O552" s="3"/>
    </row>
    <row r="553" spans="3:15" x14ac:dyDescent="0.45">
      <c r="C553" s="2"/>
      <c r="D553" s="2"/>
      <c r="O553" s="3"/>
    </row>
    <row r="554" spans="3:15" x14ac:dyDescent="0.45">
      <c r="C554" s="2"/>
      <c r="D554" s="2"/>
      <c r="O554" s="3"/>
    </row>
    <row r="555" spans="3:15" x14ac:dyDescent="0.45">
      <c r="C555" s="2"/>
      <c r="D555" s="2"/>
      <c r="O555" s="3"/>
    </row>
    <row r="556" spans="3:15" x14ac:dyDescent="0.45">
      <c r="C556" s="2"/>
      <c r="D556" s="2"/>
      <c r="O556" s="3"/>
    </row>
    <row r="557" spans="3:15" x14ac:dyDescent="0.45">
      <c r="C557" s="2"/>
      <c r="D557" s="2"/>
      <c r="O557" s="3"/>
    </row>
    <row r="558" spans="3:15" x14ac:dyDescent="0.45">
      <c r="C558" s="2"/>
      <c r="D558" s="2"/>
      <c r="O558" s="3"/>
    </row>
    <row r="559" spans="3:15" x14ac:dyDescent="0.45">
      <c r="C559" s="2"/>
      <c r="D559" s="2"/>
      <c r="O559" s="3"/>
    </row>
    <row r="560" spans="3:15" x14ac:dyDescent="0.45">
      <c r="C560" s="2"/>
      <c r="D560" s="2"/>
      <c r="O560" s="3"/>
    </row>
    <row r="561" spans="3:15" x14ac:dyDescent="0.45">
      <c r="C561" s="2"/>
      <c r="D561" s="2"/>
      <c r="O561" s="3"/>
    </row>
    <row r="562" spans="3:15" x14ac:dyDescent="0.45">
      <c r="C562" s="2"/>
      <c r="D562" s="2"/>
      <c r="O562" s="3"/>
    </row>
    <row r="563" spans="3:15" x14ac:dyDescent="0.45">
      <c r="C563" s="2"/>
      <c r="D563" s="2"/>
      <c r="O563" s="3"/>
    </row>
    <row r="564" spans="3:15" x14ac:dyDescent="0.45">
      <c r="C564" s="2"/>
      <c r="D564" s="2"/>
      <c r="O564" s="3"/>
    </row>
    <row r="565" spans="3:15" x14ac:dyDescent="0.45">
      <c r="C565" s="2"/>
      <c r="D565" s="2"/>
      <c r="O565" s="3"/>
    </row>
    <row r="566" spans="3:15" x14ac:dyDescent="0.45">
      <c r="C566" s="2"/>
      <c r="D566" s="2"/>
      <c r="O566" s="3"/>
    </row>
    <row r="567" spans="3:15" x14ac:dyDescent="0.45">
      <c r="C567" s="2"/>
      <c r="D567" s="2"/>
      <c r="O567" s="3"/>
    </row>
    <row r="568" spans="3:15" x14ac:dyDescent="0.45">
      <c r="C568" s="2"/>
      <c r="D568" s="2"/>
      <c r="O568" s="3"/>
    </row>
    <row r="569" spans="3:15" x14ac:dyDescent="0.45">
      <c r="C569" s="2"/>
      <c r="D569" s="2"/>
      <c r="O569" s="3"/>
    </row>
    <row r="570" spans="3:15" x14ac:dyDescent="0.45">
      <c r="C570" s="2"/>
      <c r="D570" s="2"/>
      <c r="O570" s="3"/>
    </row>
    <row r="571" spans="3:15" x14ac:dyDescent="0.45">
      <c r="C571" s="2"/>
      <c r="D571" s="2"/>
      <c r="O571" s="3"/>
    </row>
    <row r="572" spans="3:15" x14ac:dyDescent="0.45">
      <c r="C572" s="2"/>
      <c r="D572" s="2"/>
      <c r="O572" s="3"/>
    </row>
    <row r="573" spans="3:15" x14ac:dyDescent="0.45">
      <c r="C573" s="2"/>
      <c r="D573" s="2"/>
      <c r="O573" s="3"/>
    </row>
    <row r="574" spans="3:15" x14ac:dyDescent="0.45">
      <c r="C574" s="2"/>
      <c r="D574" s="2"/>
      <c r="O574" s="3"/>
    </row>
    <row r="575" spans="3:15" x14ac:dyDescent="0.45">
      <c r="C575" s="2"/>
      <c r="D575" s="2"/>
      <c r="O575" s="3"/>
    </row>
    <row r="576" spans="3:15" x14ac:dyDescent="0.45">
      <c r="C576" s="2"/>
      <c r="D576" s="2"/>
      <c r="O576" s="3"/>
    </row>
    <row r="577" spans="3:15" x14ac:dyDescent="0.45">
      <c r="C577" s="2"/>
      <c r="D577" s="2"/>
      <c r="O577" s="3"/>
    </row>
    <row r="578" spans="3:15" x14ac:dyDescent="0.45">
      <c r="C578" s="2"/>
      <c r="D578" s="2"/>
      <c r="O578" s="3"/>
    </row>
    <row r="579" spans="3:15" x14ac:dyDescent="0.45">
      <c r="C579" s="2"/>
      <c r="D579" s="2"/>
      <c r="O579" s="3"/>
    </row>
    <row r="580" spans="3:15" x14ac:dyDescent="0.45">
      <c r="C580" s="2"/>
      <c r="D580" s="2"/>
      <c r="O580" s="3"/>
    </row>
    <row r="581" spans="3:15" x14ac:dyDescent="0.45">
      <c r="C581" s="2"/>
      <c r="D581" s="2"/>
      <c r="O581" s="3"/>
    </row>
    <row r="582" spans="3:15" x14ac:dyDescent="0.45">
      <c r="C582" s="2"/>
      <c r="D582" s="2"/>
      <c r="O582" s="3"/>
    </row>
    <row r="583" spans="3:15" x14ac:dyDescent="0.45">
      <c r="C583" s="2"/>
      <c r="D583" s="2"/>
      <c r="O583" s="3"/>
    </row>
    <row r="584" spans="3:15" x14ac:dyDescent="0.45">
      <c r="C584" s="2"/>
      <c r="D584" s="2"/>
      <c r="O584" s="3"/>
    </row>
    <row r="585" spans="3:15" x14ac:dyDescent="0.45">
      <c r="C585" s="2"/>
      <c r="D585" s="2"/>
      <c r="O585" s="3"/>
    </row>
    <row r="586" spans="3:15" x14ac:dyDescent="0.45">
      <c r="C586" s="2"/>
      <c r="D586" s="2"/>
      <c r="O586" s="3"/>
    </row>
    <row r="587" spans="3:15" x14ac:dyDescent="0.45">
      <c r="C587" s="2"/>
      <c r="D587" s="2"/>
      <c r="O587" s="3"/>
    </row>
    <row r="588" spans="3:15" x14ac:dyDescent="0.45">
      <c r="C588" s="2"/>
      <c r="D588" s="2"/>
      <c r="O588" s="3"/>
    </row>
    <row r="589" spans="3:15" x14ac:dyDescent="0.45">
      <c r="C589" s="2"/>
      <c r="D589" s="2"/>
      <c r="O589" s="3"/>
    </row>
    <row r="590" spans="3:15" x14ac:dyDescent="0.45">
      <c r="C590" s="2"/>
      <c r="D590" s="2"/>
      <c r="O590" s="3"/>
    </row>
    <row r="591" spans="3:15" x14ac:dyDescent="0.45">
      <c r="C591" s="2"/>
      <c r="D591" s="2"/>
      <c r="O591" s="3"/>
    </row>
    <row r="592" spans="3:15" x14ac:dyDescent="0.45">
      <c r="C592" s="2"/>
      <c r="D592" s="2"/>
      <c r="O592" s="3"/>
    </row>
    <row r="593" spans="3:15" x14ac:dyDescent="0.45">
      <c r="C593" s="2"/>
      <c r="D593" s="2"/>
      <c r="O593" s="3"/>
    </row>
    <row r="594" spans="3:15" x14ac:dyDescent="0.45">
      <c r="C594" s="2"/>
      <c r="D594" s="2"/>
      <c r="O594" s="3"/>
    </row>
    <row r="595" spans="3:15" x14ac:dyDescent="0.45">
      <c r="C595" s="2"/>
      <c r="D595" s="2"/>
      <c r="O595" s="3"/>
    </row>
    <row r="596" spans="3:15" x14ac:dyDescent="0.45">
      <c r="C596" s="2"/>
      <c r="D596" s="2"/>
      <c r="O596" s="3"/>
    </row>
    <row r="597" spans="3:15" x14ac:dyDescent="0.45">
      <c r="C597" s="2"/>
      <c r="D597" s="2"/>
      <c r="O597" s="3"/>
    </row>
    <row r="598" spans="3:15" x14ac:dyDescent="0.45">
      <c r="C598" s="2"/>
      <c r="D598" s="2"/>
      <c r="O598" s="3"/>
    </row>
    <row r="599" spans="3:15" x14ac:dyDescent="0.45">
      <c r="C599" s="2"/>
      <c r="D599" s="2"/>
      <c r="O599" s="3"/>
    </row>
    <row r="600" spans="3:15" x14ac:dyDescent="0.45">
      <c r="C600" s="2"/>
      <c r="D600" s="2"/>
      <c r="O600" s="3"/>
    </row>
    <row r="601" spans="3:15" x14ac:dyDescent="0.45">
      <c r="C601" s="2"/>
      <c r="D601" s="2"/>
      <c r="O601" s="3"/>
    </row>
    <row r="602" spans="3:15" x14ac:dyDescent="0.45">
      <c r="C602" s="2"/>
      <c r="D602" s="2"/>
      <c r="O602" s="3"/>
    </row>
    <row r="603" spans="3:15" x14ac:dyDescent="0.45">
      <c r="C603" s="2"/>
      <c r="D603" s="2"/>
      <c r="O603" s="3"/>
    </row>
    <row r="604" spans="3:15" x14ac:dyDescent="0.45">
      <c r="C604" s="2"/>
      <c r="D604" s="2"/>
      <c r="O604" s="3"/>
    </row>
    <row r="605" spans="3:15" x14ac:dyDescent="0.45">
      <c r="C605" s="2"/>
      <c r="D605" s="2"/>
      <c r="O605" s="3"/>
    </row>
    <row r="606" spans="3:15" x14ac:dyDescent="0.45">
      <c r="C606" s="2"/>
      <c r="D606" s="2"/>
      <c r="O606" s="3"/>
    </row>
    <row r="607" spans="3:15" x14ac:dyDescent="0.45">
      <c r="C607" s="2"/>
      <c r="D607" s="2"/>
      <c r="O607" s="3"/>
    </row>
    <row r="608" spans="3:15" x14ac:dyDescent="0.45">
      <c r="C608" s="2"/>
      <c r="D608" s="2"/>
      <c r="O608" s="3"/>
    </row>
    <row r="609" spans="3:15" x14ac:dyDescent="0.45">
      <c r="C609" s="2"/>
      <c r="D609" s="2"/>
      <c r="O609" s="3"/>
    </row>
    <row r="610" spans="3:15" x14ac:dyDescent="0.45">
      <c r="C610" s="2"/>
      <c r="D610" s="2"/>
      <c r="O610" s="3"/>
    </row>
    <row r="611" spans="3:15" x14ac:dyDescent="0.45">
      <c r="C611" s="2"/>
      <c r="D611" s="2"/>
      <c r="O611" s="3"/>
    </row>
    <row r="612" spans="3:15" x14ac:dyDescent="0.45">
      <c r="C612" s="2"/>
      <c r="D612" s="2"/>
      <c r="O612" s="3"/>
    </row>
    <row r="613" spans="3:15" x14ac:dyDescent="0.45">
      <c r="C613" s="2"/>
      <c r="D613" s="2"/>
      <c r="O613" s="3"/>
    </row>
    <row r="614" spans="3:15" x14ac:dyDescent="0.45">
      <c r="C614" s="2"/>
      <c r="D614" s="2"/>
      <c r="O614" s="3"/>
    </row>
    <row r="615" spans="3:15" x14ac:dyDescent="0.45">
      <c r="C615" s="2"/>
      <c r="D615" s="2"/>
      <c r="O615" s="3"/>
    </row>
    <row r="616" spans="3:15" x14ac:dyDescent="0.45">
      <c r="C616" s="2"/>
      <c r="D616" s="2"/>
      <c r="O616" s="3"/>
    </row>
    <row r="617" spans="3:15" x14ac:dyDescent="0.45">
      <c r="C617" s="2"/>
      <c r="D617" s="2"/>
      <c r="O617" s="3"/>
    </row>
    <row r="618" spans="3:15" x14ac:dyDescent="0.45">
      <c r="C618" s="2"/>
      <c r="D618" s="2"/>
      <c r="O618" s="3"/>
    </row>
    <row r="619" spans="3:15" x14ac:dyDescent="0.45">
      <c r="C619" s="2"/>
      <c r="D619" s="2"/>
      <c r="O619" s="3"/>
    </row>
    <row r="620" spans="3:15" x14ac:dyDescent="0.45">
      <c r="C620" s="2"/>
      <c r="D620" s="2"/>
      <c r="O620" s="3"/>
    </row>
    <row r="621" spans="3:15" x14ac:dyDescent="0.45">
      <c r="C621" s="2"/>
      <c r="D621" s="2"/>
      <c r="O621" s="3"/>
    </row>
    <row r="622" spans="3:15" x14ac:dyDescent="0.45">
      <c r="C622" s="2"/>
      <c r="D622" s="2"/>
      <c r="O622" s="3"/>
    </row>
    <row r="623" spans="3:15" x14ac:dyDescent="0.45">
      <c r="C623" s="2"/>
      <c r="D623" s="2"/>
      <c r="O623" s="3"/>
    </row>
    <row r="624" spans="3:15" x14ac:dyDescent="0.45">
      <c r="C624" s="2"/>
      <c r="D624" s="2"/>
      <c r="O624" s="3"/>
    </row>
    <row r="625" spans="3:15" x14ac:dyDescent="0.45">
      <c r="C625" s="2"/>
      <c r="D625" s="2"/>
      <c r="O625" s="3"/>
    </row>
    <row r="626" spans="3:15" x14ac:dyDescent="0.45">
      <c r="C626" s="2"/>
      <c r="D626" s="2"/>
      <c r="O626" s="3"/>
    </row>
    <row r="627" spans="3:15" x14ac:dyDescent="0.45">
      <c r="C627" s="2"/>
      <c r="D627" s="2"/>
      <c r="O627" s="3"/>
    </row>
    <row r="628" spans="3:15" x14ac:dyDescent="0.45">
      <c r="C628" s="2"/>
      <c r="D628" s="2"/>
      <c r="O628" s="3"/>
    </row>
    <row r="629" spans="3:15" x14ac:dyDescent="0.45">
      <c r="C629" s="2"/>
      <c r="D629" s="2"/>
      <c r="O629" s="3"/>
    </row>
    <row r="630" spans="3:15" x14ac:dyDescent="0.45">
      <c r="C630" s="2"/>
      <c r="D630" s="2"/>
      <c r="O630" s="3"/>
    </row>
    <row r="631" spans="3:15" x14ac:dyDescent="0.45">
      <c r="C631" s="2"/>
      <c r="D631" s="2"/>
      <c r="O631" s="3"/>
    </row>
    <row r="632" spans="3:15" x14ac:dyDescent="0.45">
      <c r="C632" s="2"/>
      <c r="D632" s="2"/>
      <c r="O632" s="3"/>
    </row>
    <row r="633" spans="3:15" x14ac:dyDescent="0.45">
      <c r="C633" s="2"/>
      <c r="D633" s="2"/>
      <c r="O633" s="3"/>
    </row>
    <row r="634" spans="3:15" x14ac:dyDescent="0.45">
      <c r="C634" s="2"/>
      <c r="D634" s="2"/>
      <c r="O634" s="3"/>
    </row>
    <row r="635" spans="3:15" x14ac:dyDescent="0.45">
      <c r="C635" s="2"/>
      <c r="D635" s="2"/>
      <c r="O635" s="3"/>
    </row>
    <row r="636" spans="3:15" x14ac:dyDescent="0.45">
      <c r="C636" s="2"/>
      <c r="D636" s="2"/>
      <c r="O636" s="3"/>
    </row>
    <row r="637" spans="3:15" x14ac:dyDescent="0.45">
      <c r="C637" s="2"/>
      <c r="D637" s="2"/>
      <c r="O637" s="3"/>
    </row>
    <row r="638" spans="3:15" x14ac:dyDescent="0.45">
      <c r="C638" s="2"/>
      <c r="D638" s="2"/>
      <c r="O638" s="3"/>
    </row>
    <row r="639" spans="3:15" x14ac:dyDescent="0.45">
      <c r="C639" s="2"/>
      <c r="D639" s="2"/>
      <c r="O639" s="3"/>
    </row>
    <row r="640" spans="3:15" x14ac:dyDescent="0.45">
      <c r="C640" s="2"/>
      <c r="D640" s="2"/>
      <c r="O640" s="3"/>
    </row>
    <row r="641" spans="3:15" x14ac:dyDescent="0.45">
      <c r="C641" s="2"/>
      <c r="D641" s="2"/>
      <c r="O641" s="3"/>
    </row>
    <row r="642" spans="3:15" x14ac:dyDescent="0.45">
      <c r="C642" s="2"/>
      <c r="D642" s="2"/>
      <c r="O642" s="3"/>
    </row>
    <row r="643" spans="3:15" x14ac:dyDescent="0.45">
      <c r="C643" s="2"/>
      <c r="D643" s="2"/>
      <c r="O643" s="3"/>
    </row>
    <row r="644" spans="3:15" x14ac:dyDescent="0.45">
      <c r="C644" s="2"/>
      <c r="D644" s="2"/>
      <c r="O644" s="3"/>
    </row>
    <row r="645" spans="3:15" x14ac:dyDescent="0.45">
      <c r="C645" s="2"/>
      <c r="D645" s="2"/>
      <c r="O645" s="3"/>
    </row>
    <row r="646" spans="3:15" x14ac:dyDescent="0.45">
      <c r="C646" s="2"/>
      <c r="D646" s="2"/>
      <c r="O646" s="3"/>
    </row>
    <row r="647" spans="3:15" x14ac:dyDescent="0.45">
      <c r="C647" s="2"/>
      <c r="D647" s="2"/>
      <c r="O647" s="3"/>
    </row>
    <row r="648" spans="3:15" x14ac:dyDescent="0.45">
      <c r="C648" s="2"/>
      <c r="D648" s="2"/>
      <c r="O648" s="3"/>
    </row>
    <row r="649" spans="3:15" x14ac:dyDescent="0.45">
      <c r="C649" s="2"/>
      <c r="D649" s="2"/>
      <c r="O649" s="3"/>
    </row>
    <row r="650" spans="3:15" x14ac:dyDescent="0.45">
      <c r="C650" s="2"/>
      <c r="D650" s="2"/>
      <c r="O650" s="3"/>
    </row>
    <row r="651" spans="3:15" x14ac:dyDescent="0.45">
      <c r="C651" s="2"/>
      <c r="D651" s="2"/>
      <c r="O651" s="3"/>
    </row>
    <row r="652" spans="3:15" x14ac:dyDescent="0.45">
      <c r="C652" s="2"/>
      <c r="D652" s="2"/>
      <c r="O652" s="3"/>
    </row>
    <row r="653" spans="3:15" x14ac:dyDescent="0.45">
      <c r="C653" s="2"/>
      <c r="D653" s="2"/>
      <c r="O653" s="3"/>
    </row>
    <row r="654" spans="3:15" x14ac:dyDescent="0.45">
      <c r="C654" s="2"/>
      <c r="D654" s="2"/>
      <c r="O654" s="3"/>
    </row>
    <row r="655" spans="3:15" x14ac:dyDescent="0.45">
      <c r="C655" s="2"/>
      <c r="D655" s="2"/>
      <c r="O655" s="3"/>
    </row>
    <row r="656" spans="3:15" x14ac:dyDescent="0.45">
      <c r="C656" s="2"/>
      <c r="D656" s="2"/>
      <c r="O656" s="3"/>
    </row>
    <row r="657" spans="3:15" x14ac:dyDescent="0.45">
      <c r="C657" s="2"/>
      <c r="D657" s="2"/>
      <c r="O657" s="3"/>
    </row>
    <row r="658" spans="3:15" x14ac:dyDescent="0.45">
      <c r="C658" s="2"/>
      <c r="D658" s="2"/>
      <c r="O658" s="3"/>
    </row>
    <row r="659" spans="3:15" x14ac:dyDescent="0.45">
      <c r="C659" s="2"/>
      <c r="D659" s="2"/>
      <c r="O659" s="3"/>
    </row>
    <row r="660" spans="3:15" x14ac:dyDescent="0.45">
      <c r="C660" s="2"/>
      <c r="D660" s="2"/>
      <c r="O660" s="3"/>
    </row>
    <row r="661" spans="3:15" x14ac:dyDescent="0.45">
      <c r="C661" s="2"/>
      <c r="D661" s="2"/>
      <c r="O661" s="3"/>
    </row>
    <row r="662" spans="3:15" x14ac:dyDescent="0.45">
      <c r="C662" s="2"/>
      <c r="D662" s="2"/>
      <c r="O662" s="3"/>
    </row>
    <row r="663" spans="3:15" x14ac:dyDescent="0.45">
      <c r="C663" s="2"/>
      <c r="D663" s="2"/>
      <c r="O663" s="3"/>
    </row>
    <row r="664" spans="3:15" x14ac:dyDescent="0.45">
      <c r="C664" s="2"/>
      <c r="D664" s="2"/>
      <c r="O664" s="3"/>
    </row>
    <row r="665" spans="3:15" x14ac:dyDescent="0.45">
      <c r="C665" s="2"/>
      <c r="D665" s="2"/>
      <c r="O665" s="3"/>
    </row>
    <row r="666" spans="3:15" x14ac:dyDescent="0.45">
      <c r="C666" s="2"/>
      <c r="D666" s="2"/>
      <c r="O666" s="3"/>
    </row>
    <row r="667" spans="3:15" x14ac:dyDescent="0.45">
      <c r="C667" s="2"/>
      <c r="D667" s="2"/>
      <c r="O667" s="3"/>
    </row>
    <row r="668" spans="3:15" x14ac:dyDescent="0.45">
      <c r="C668" s="2"/>
      <c r="D668" s="2"/>
      <c r="O668" s="3"/>
    </row>
    <row r="669" spans="3:15" x14ac:dyDescent="0.45">
      <c r="C669" s="2"/>
      <c r="D669" s="2"/>
      <c r="O669" s="3"/>
    </row>
    <row r="670" spans="3:15" x14ac:dyDescent="0.45">
      <c r="C670" s="2"/>
      <c r="D670" s="2"/>
      <c r="O670" s="3"/>
    </row>
    <row r="671" spans="3:15" x14ac:dyDescent="0.45">
      <c r="C671" s="2"/>
      <c r="D671" s="2"/>
      <c r="O671" s="3"/>
    </row>
    <row r="672" spans="3:15" x14ac:dyDescent="0.45">
      <c r="C672" s="2"/>
      <c r="D672" s="2"/>
      <c r="O672" s="3"/>
    </row>
    <row r="673" spans="3:15" x14ac:dyDescent="0.45">
      <c r="C673" s="2"/>
      <c r="D673" s="2"/>
      <c r="O673" s="3"/>
    </row>
    <row r="674" spans="3:15" x14ac:dyDescent="0.45">
      <c r="C674" s="2"/>
      <c r="D674" s="2"/>
      <c r="O674" s="3"/>
    </row>
    <row r="675" spans="3:15" x14ac:dyDescent="0.45">
      <c r="C675" s="2"/>
      <c r="D675" s="2"/>
      <c r="O675" s="3"/>
    </row>
    <row r="676" spans="3:15" x14ac:dyDescent="0.45">
      <c r="C676" s="2"/>
      <c r="D676" s="2"/>
      <c r="O676" s="3"/>
    </row>
    <row r="677" spans="3:15" x14ac:dyDescent="0.45">
      <c r="C677" s="2"/>
      <c r="D677" s="2"/>
      <c r="O677" s="3"/>
    </row>
    <row r="678" spans="3:15" x14ac:dyDescent="0.45">
      <c r="C678" s="2"/>
      <c r="D678" s="2"/>
      <c r="O678" s="3"/>
    </row>
    <row r="679" spans="3:15" x14ac:dyDescent="0.45">
      <c r="C679" s="2"/>
      <c r="D679" s="2"/>
      <c r="O679" s="3"/>
    </row>
    <row r="680" spans="3:15" x14ac:dyDescent="0.45">
      <c r="C680" s="2"/>
      <c r="D680" s="2"/>
      <c r="O680" s="3"/>
    </row>
    <row r="681" spans="3:15" x14ac:dyDescent="0.45">
      <c r="C681" s="2"/>
      <c r="D681" s="2"/>
      <c r="O681" s="3"/>
    </row>
    <row r="682" spans="3:15" x14ac:dyDescent="0.45">
      <c r="C682" s="2"/>
      <c r="D682" s="2"/>
      <c r="O682" s="3"/>
    </row>
    <row r="683" spans="3:15" x14ac:dyDescent="0.45">
      <c r="C683" s="2"/>
      <c r="D683" s="2"/>
      <c r="O683" s="3"/>
    </row>
    <row r="684" spans="3:15" x14ac:dyDescent="0.45">
      <c r="C684" s="2"/>
      <c r="D684" s="2"/>
      <c r="O684" s="3"/>
    </row>
    <row r="685" spans="3:15" x14ac:dyDescent="0.45">
      <c r="C685" s="2"/>
      <c r="D685" s="2"/>
      <c r="O685" s="3"/>
    </row>
    <row r="686" spans="3:15" x14ac:dyDescent="0.45">
      <c r="C686" s="2"/>
      <c r="D686" s="2"/>
      <c r="O686" s="3"/>
    </row>
    <row r="687" spans="3:15" x14ac:dyDescent="0.45">
      <c r="C687" s="2"/>
      <c r="D687" s="2"/>
      <c r="O687" s="3"/>
    </row>
    <row r="688" spans="3:15" x14ac:dyDescent="0.45">
      <c r="C688" s="2"/>
      <c r="D688" s="2"/>
      <c r="O688" s="3"/>
    </row>
    <row r="689" spans="3:15" x14ac:dyDescent="0.45">
      <c r="C689" s="2"/>
      <c r="D689" s="2"/>
      <c r="O689" s="3"/>
    </row>
    <row r="690" spans="3:15" x14ac:dyDescent="0.45">
      <c r="C690" s="2"/>
      <c r="D690" s="2"/>
      <c r="O690" s="3"/>
    </row>
    <row r="691" spans="3:15" x14ac:dyDescent="0.45">
      <c r="C691" s="2"/>
      <c r="D691" s="2"/>
      <c r="O691" s="3"/>
    </row>
    <row r="692" spans="3:15" x14ac:dyDescent="0.45">
      <c r="C692" s="2"/>
      <c r="D692" s="2"/>
      <c r="O692" s="3"/>
    </row>
    <row r="693" spans="3:15" x14ac:dyDescent="0.45">
      <c r="C693" s="2"/>
      <c r="D693" s="2"/>
      <c r="O693" s="3"/>
    </row>
    <row r="694" spans="3:15" x14ac:dyDescent="0.45">
      <c r="C694" s="2"/>
      <c r="D694" s="2"/>
      <c r="O694" s="3"/>
    </row>
    <row r="695" spans="3:15" x14ac:dyDescent="0.45">
      <c r="C695" s="2"/>
      <c r="D695" s="2"/>
      <c r="O695" s="3"/>
    </row>
    <row r="696" spans="3:15" x14ac:dyDescent="0.45">
      <c r="C696" s="2"/>
      <c r="D696" s="2"/>
      <c r="O696" s="3"/>
    </row>
    <row r="697" spans="3:15" x14ac:dyDescent="0.45">
      <c r="C697" s="2"/>
      <c r="D697" s="2"/>
      <c r="O697" s="3"/>
    </row>
    <row r="698" spans="3:15" x14ac:dyDescent="0.45">
      <c r="C698" s="2"/>
      <c r="D698" s="2"/>
      <c r="O698" s="3"/>
    </row>
    <row r="699" spans="3:15" x14ac:dyDescent="0.45">
      <c r="C699" s="2"/>
      <c r="D699" s="2"/>
      <c r="O699" s="3"/>
    </row>
    <row r="700" spans="3:15" x14ac:dyDescent="0.45">
      <c r="C700" s="2"/>
      <c r="D700" s="2"/>
      <c r="O700" s="3"/>
    </row>
    <row r="701" spans="3:15" x14ac:dyDescent="0.45">
      <c r="C701" s="2"/>
      <c r="D701" s="2"/>
      <c r="O701" s="3"/>
    </row>
    <row r="702" spans="3:15" x14ac:dyDescent="0.45">
      <c r="C702" s="2"/>
      <c r="D702" s="2"/>
      <c r="O702" s="3"/>
    </row>
    <row r="703" spans="3:15" x14ac:dyDescent="0.45">
      <c r="C703" s="2"/>
      <c r="D703" s="2"/>
      <c r="O703" s="3"/>
    </row>
    <row r="704" spans="3:15" x14ac:dyDescent="0.45">
      <c r="C704" s="2"/>
      <c r="D704" s="2"/>
      <c r="O704" s="3"/>
    </row>
    <row r="705" spans="3:15" x14ac:dyDescent="0.45">
      <c r="C705" s="2"/>
      <c r="D705" s="2"/>
      <c r="O705" s="3"/>
    </row>
    <row r="706" spans="3:15" x14ac:dyDescent="0.45">
      <c r="C706" s="2"/>
      <c r="D706" s="2"/>
      <c r="O706" s="3"/>
    </row>
    <row r="707" spans="3:15" x14ac:dyDescent="0.45">
      <c r="C707" s="2"/>
      <c r="D707" s="2"/>
      <c r="O707" s="3"/>
    </row>
    <row r="708" spans="3:15" x14ac:dyDescent="0.45">
      <c r="C708" s="2"/>
      <c r="D708" s="2"/>
      <c r="O708" s="3"/>
    </row>
    <row r="709" spans="3:15" x14ac:dyDescent="0.45">
      <c r="C709" s="2"/>
      <c r="D709" s="2"/>
      <c r="O709" s="3"/>
    </row>
    <row r="710" spans="3:15" x14ac:dyDescent="0.45">
      <c r="C710" s="2"/>
      <c r="D710" s="2"/>
      <c r="O710" s="3"/>
    </row>
    <row r="711" spans="3:15" x14ac:dyDescent="0.45">
      <c r="C711" s="2"/>
      <c r="D711" s="2"/>
      <c r="O711" s="3"/>
    </row>
    <row r="712" spans="3:15" x14ac:dyDescent="0.45">
      <c r="C712" s="2"/>
      <c r="D712" s="2"/>
      <c r="O712" s="3"/>
    </row>
    <row r="713" spans="3:15" x14ac:dyDescent="0.45">
      <c r="C713" s="2"/>
      <c r="D713" s="2"/>
      <c r="O713" s="3"/>
    </row>
    <row r="714" spans="3:15" x14ac:dyDescent="0.45">
      <c r="C714" s="2"/>
      <c r="D714" s="2"/>
      <c r="O714" s="3"/>
    </row>
    <row r="715" spans="3:15" x14ac:dyDescent="0.45">
      <c r="C715" s="2"/>
      <c r="D715" s="2"/>
      <c r="O715" s="3"/>
    </row>
    <row r="716" spans="3:15" x14ac:dyDescent="0.45">
      <c r="C716" s="2"/>
      <c r="D716" s="2"/>
      <c r="O716" s="3"/>
    </row>
    <row r="717" spans="3:15" x14ac:dyDescent="0.45">
      <c r="C717" s="2"/>
      <c r="D717" s="2"/>
      <c r="O717" s="3"/>
    </row>
    <row r="718" spans="3:15" x14ac:dyDescent="0.45">
      <c r="C718" s="2"/>
      <c r="D718" s="2"/>
      <c r="O718" s="3"/>
    </row>
    <row r="719" spans="3:15" x14ac:dyDescent="0.45">
      <c r="C719" s="2"/>
      <c r="D719" s="2"/>
      <c r="O719" s="3"/>
    </row>
    <row r="720" spans="3:15" x14ac:dyDescent="0.45">
      <c r="C720" s="2"/>
      <c r="D720" s="2"/>
      <c r="O720" s="3"/>
    </row>
    <row r="721" spans="3:15" x14ac:dyDescent="0.45">
      <c r="C721" s="2"/>
      <c r="D721" s="2"/>
      <c r="O721" s="3"/>
    </row>
    <row r="722" spans="3:15" x14ac:dyDescent="0.45">
      <c r="C722" s="2"/>
      <c r="D722" s="2"/>
      <c r="O722" s="3"/>
    </row>
    <row r="723" spans="3:15" x14ac:dyDescent="0.45">
      <c r="C723" s="2"/>
      <c r="D723" s="2"/>
      <c r="O723" s="3"/>
    </row>
    <row r="724" spans="3:15" x14ac:dyDescent="0.45">
      <c r="C724" s="2"/>
      <c r="D724" s="2"/>
      <c r="O724" s="3"/>
    </row>
    <row r="725" spans="3:15" x14ac:dyDescent="0.45">
      <c r="C725" s="2"/>
      <c r="D725" s="2"/>
      <c r="O725" s="3"/>
    </row>
    <row r="726" spans="3:15" x14ac:dyDescent="0.45">
      <c r="C726" s="2"/>
      <c r="D726" s="2"/>
      <c r="O726" s="3"/>
    </row>
    <row r="727" spans="3:15" x14ac:dyDescent="0.45">
      <c r="C727" s="2"/>
      <c r="D727" s="2"/>
      <c r="O727" s="3"/>
    </row>
    <row r="728" spans="3:15" x14ac:dyDescent="0.45">
      <c r="C728" s="2"/>
      <c r="D728" s="2"/>
      <c r="O728" s="3"/>
    </row>
    <row r="729" spans="3:15" x14ac:dyDescent="0.45">
      <c r="C729" s="2"/>
      <c r="D729" s="2"/>
      <c r="O729" s="3"/>
    </row>
    <row r="730" spans="3:15" x14ac:dyDescent="0.45">
      <c r="C730" s="2"/>
      <c r="D730" s="2"/>
      <c r="O730" s="3"/>
    </row>
    <row r="731" spans="3:15" x14ac:dyDescent="0.45">
      <c r="C731" s="2"/>
      <c r="D731" s="2"/>
      <c r="O731" s="3"/>
    </row>
    <row r="732" spans="3:15" x14ac:dyDescent="0.45">
      <c r="C732" s="2"/>
      <c r="D732" s="2"/>
      <c r="O732" s="3"/>
    </row>
    <row r="733" spans="3:15" x14ac:dyDescent="0.45">
      <c r="C733" s="2"/>
      <c r="D733" s="2"/>
      <c r="O733" s="3"/>
    </row>
    <row r="734" spans="3:15" x14ac:dyDescent="0.45">
      <c r="C734" s="2"/>
      <c r="D734" s="2"/>
      <c r="O734" s="3"/>
    </row>
    <row r="735" spans="3:15" x14ac:dyDescent="0.45">
      <c r="C735" s="2"/>
      <c r="D735" s="2"/>
      <c r="O735" s="3"/>
    </row>
    <row r="736" spans="3:15" x14ac:dyDescent="0.45">
      <c r="C736" s="2"/>
      <c r="D736" s="2"/>
      <c r="O736" s="3"/>
    </row>
    <row r="737" spans="3:15" x14ac:dyDescent="0.45">
      <c r="C737" s="2"/>
      <c r="D737" s="2"/>
      <c r="O737" s="3"/>
    </row>
    <row r="738" spans="3:15" x14ac:dyDescent="0.45">
      <c r="C738" s="2"/>
      <c r="D738" s="2"/>
      <c r="O738" s="3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Nahidul Islam</cp:lastModifiedBy>
  <dcterms:modified xsi:type="dcterms:W3CDTF">2025-10-04T15:31:09Z</dcterms:modified>
</cp:coreProperties>
</file>